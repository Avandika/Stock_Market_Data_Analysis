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tics\Project-1\"/>
    </mc:Choice>
  </mc:AlternateContent>
  <xr:revisionPtr revIDLastSave="0" documentId="13_ncr:1_{B30503B4-E653-4EA8-888E-B8ED5F23BEC2}" xr6:coauthVersionLast="47" xr6:coauthVersionMax="47" xr10:uidLastSave="{00000000-0000-0000-0000-000000000000}"/>
  <bookViews>
    <workbookView xWindow="-120" yWindow="-120" windowWidth="20730" windowHeight="11040" xr2:uid="{C45A48DF-11AA-4C2F-8E2C-0E8E3E920498}"/>
  </bookViews>
  <sheets>
    <sheet name="Stock_Market_Dataset" sheetId="2" r:id="rId1"/>
    <sheet name="Summary" sheetId="3" r:id="rId2"/>
    <sheet name="Dashboard" sheetId="7" r:id="rId3"/>
    <sheet name="Company-wise Trading Volume" sheetId="6" r:id="rId4"/>
    <sheet name="Company-wise Closing Price" sheetId="5" r:id="rId5"/>
    <sheet name="ProfitLoss Distribution" sheetId="8" r:id="rId6"/>
    <sheet name="Trading Activity Analysis" sheetId="9" r:id="rId7"/>
  </sheets>
  <definedNames>
    <definedName name="ExternalData_1" localSheetId="0" hidden="1">Stock_Market_Dataset!$A$1:$L$301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7" i="3"/>
  <c r="C6" i="3"/>
  <c r="C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6B57-65A9-4215-99CE-B51BC8690348}" keepAlive="1" name="Query - Stock_Market_Dataset" description="Connection to the 'Stock_Market_Dataset' query in the workbook." type="5" refreshedVersion="8" background="1" saveData="1">
    <dbPr connection="Provider=Microsoft.Mashup.OleDb.1;Data Source=$Workbook$;Location=Stock_Market_Dataset;Extended Properties=&quot;&quot;" command="SELECT * FROM [Stock_Market_Dataset]"/>
  </connection>
</connections>
</file>

<file path=xl/sharedStrings.xml><?xml version="1.0" encoding="utf-8"?>
<sst xmlns="http://schemas.openxmlformats.org/spreadsheetml/2006/main" count="652" uniqueCount="30">
  <si>
    <t>Date</t>
  </si>
  <si>
    <t>Company</t>
  </si>
  <si>
    <t>Open</t>
  </si>
  <si>
    <t>High</t>
  </si>
  <si>
    <t>Low</t>
  </si>
  <si>
    <t>Close</t>
  </si>
  <si>
    <t>Adj Close</t>
  </si>
  <si>
    <t>Volume</t>
  </si>
  <si>
    <t>Daily Return %</t>
  </si>
  <si>
    <t>5-Day Moving Average</t>
  </si>
  <si>
    <t>Profit/Loss</t>
  </si>
  <si>
    <t>TCS</t>
  </si>
  <si>
    <t>Profit</t>
  </si>
  <si>
    <t>INFY</t>
  </si>
  <si>
    <t>Loss</t>
  </si>
  <si>
    <t>WIPRO</t>
  </si>
  <si>
    <t>HDFC</t>
  </si>
  <si>
    <t>RELIANCE</t>
  </si>
  <si>
    <t>Profit_Value</t>
  </si>
  <si>
    <t>KPI</t>
  </si>
  <si>
    <t>Value</t>
  </si>
  <si>
    <t>Total Trading Volume</t>
  </si>
  <si>
    <t>Average Closing Price</t>
  </si>
  <si>
    <t>Total Profit</t>
  </si>
  <si>
    <t>Volatility</t>
  </si>
  <si>
    <t>Grand Total</t>
  </si>
  <si>
    <t>Average of Close</t>
  </si>
  <si>
    <t>Sum of Volume</t>
  </si>
  <si>
    <t>Count of Date</t>
  </si>
  <si>
    <t>Stack Market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</si>
</sst>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26"/>
      <color theme="1"/>
      <name val="Times New Roman"/>
      <family val="1"/>
    </font>
    <font>
      <sz val="2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2" fillId="2" borderId="0" xfId="0" applyFont="1" applyFill="1"/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6"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14" formatCode="0.00%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[Stock_Market_Dataset.xlsx]Trading Activity Analysis!PivotTable4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Trading</a:t>
            </a:r>
            <a:r>
              <a:rPr lang="en-IN" baseline="0"/>
              <a:t> Activity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'Trading Activity Analysis'!$B$3:$B$4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'Trading Activity Analysis'!$A$5:$A$10</c:f>
              <c:strCache>
                <c:ptCount val="5"/>
                <c:pt idx="0">
                  <c:v>HDFC</c:v>
                </c:pt>
                <c:pt idx="1">
                  <c:v>INFY</c:v>
                </c:pt>
                <c:pt idx="2">
                  <c:v>RELIANCE</c:v>
                </c:pt>
                <c:pt idx="3">
                  <c:v>TCS</c:v>
                </c:pt>
                <c:pt idx="4">
                  <c:v>WIPRO</c:v>
                </c:pt>
              </c:strCache>
            </c:strRef>
          </c:cat>
          <c:val>
            <c:numRef>
              <c:f>'Trading Activity Analysis'!$B$5:$B$10</c:f>
              <c:numCache>
                <c:formatCode>General</c:formatCode>
                <c:ptCount val="5"/>
                <c:pt idx="0">
                  <c:v>31</c:v>
                </c:pt>
                <c:pt idx="1">
                  <c:v>31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8-4E1E-B0F8-8CE69A88FD31}"/>
            </c:ext>
          </c:extLst>
        </c:ser>
        <c:ser>
          <c:idx val="1"/>
          <c:order val="1"/>
          <c:tx>
            <c:strRef>
              <c:f>'Trading Activity Analysis'!$C$3:$C$4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'Trading Activity Analysis'!$A$5:$A$10</c:f>
              <c:strCache>
                <c:ptCount val="5"/>
                <c:pt idx="0">
                  <c:v>HDFC</c:v>
                </c:pt>
                <c:pt idx="1">
                  <c:v>INFY</c:v>
                </c:pt>
                <c:pt idx="2">
                  <c:v>RELIANCE</c:v>
                </c:pt>
                <c:pt idx="3">
                  <c:v>TCS</c:v>
                </c:pt>
                <c:pt idx="4">
                  <c:v>WIPRO</c:v>
                </c:pt>
              </c:strCache>
            </c:strRef>
          </c:cat>
          <c:val>
            <c:numRef>
              <c:f>'Trading Activity Analysis'!$C$5:$C$10</c:f>
              <c:numCache>
                <c:formatCode>General</c:formatCode>
                <c:ptCount val="5"/>
                <c:pt idx="0">
                  <c:v>29</c:v>
                </c:pt>
                <c:pt idx="1">
                  <c:v>29</c:v>
                </c:pt>
                <c:pt idx="2">
                  <c:v>39</c:v>
                </c:pt>
                <c:pt idx="3">
                  <c:v>32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C8-4E1E-B0F8-8CE69A88F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7542576"/>
        <c:axId val="162888608"/>
        <c:axId val="0"/>
      </c:bar3DChart>
      <c:catAx>
        <c:axId val="33754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88608"/>
        <c:crosses val="autoZero"/>
        <c:auto val="1"/>
        <c:lblAlgn val="ctr"/>
        <c:lblOffset val="100"/>
        <c:noMultiLvlLbl val="0"/>
      </c:catAx>
      <c:valAx>
        <c:axId val="162888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4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[Stock_Market_Dataset.xlsx]ProfitLoss Distribution!PivotTable3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Profit/Loss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'ProfitLoss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55-4172-BC6A-66B84D298B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55-4172-BC6A-66B84D298BE9}"/>
              </c:ext>
            </c:extLst>
          </c:dPt>
          <c:cat>
            <c:strRef>
              <c:f>'ProfitLoss Distribution'!$A$4:$A$6</c:f>
              <c:strCache>
                <c:ptCount val="2"/>
                <c:pt idx="0">
                  <c:v>Loss</c:v>
                </c:pt>
                <c:pt idx="1">
                  <c:v>Profit</c:v>
                </c:pt>
              </c:strCache>
            </c:strRef>
          </c:cat>
          <c:val>
            <c:numRef>
              <c:f>'ProfitLoss Distribution'!$B$4:$B$6</c:f>
              <c:numCache>
                <c:formatCode>General</c:formatCode>
                <c:ptCount val="2"/>
                <c:pt idx="0">
                  <c:v>146</c:v>
                </c:pt>
                <c:pt idx="1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55-4172-BC6A-66B84D298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[Stock_Market_Dataset.xlsx]Company-wise Closing Price!PivotTable1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Company-wise Closing Price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'Company-wise Closing Price'!$B$3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'Company-wise Closing Price'!$A$4:$A$9</c:f>
              <c:strCache>
                <c:ptCount val="5"/>
                <c:pt idx="0">
                  <c:v>HDFC</c:v>
                </c:pt>
                <c:pt idx="1">
                  <c:v>INFY</c:v>
                </c:pt>
                <c:pt idx="2">
                  <c:v>RELIANCE</c:v>
                </c:pt>
                <c:pt idx="3">
                  <c:v>TCS</c:v>
                </c:pt>
                <c:pt idx="4">
                  <c:v>WIPRO</c:v>
                </c:pt>
              </c:strCache>
            </c:strRef>
          </c:cat>
          <c:val>
            <c:numRef>
              <c:f>'Company-wise Closing Price'!$B$4:$B$9</c:f>
              <c:numCache>
                <c:formatCode>General</c:formatCode>
                <c:ptCount val="5"/>
                <c:pt idx="0">
                  <c:v>682.76150000000007</c:v>
                </c:pt>
                <c:pt idx="1">
                  <c:v>1254.4409999999998</c:v>
                </c:pt>
                <c:pt idx="2">
                  <c:v>2367.9281666666657</c:v>
                </c:pt>
                <c:pt idx="3">
                  <c:v>2889.1989999999996</c:v>
                </c:pt>
                <c:pt idx="4">
                  <c:v>1954.3548333333333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5-443C-9186-6146B920C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8002016"/>
        <c:axId val="251220960"/>
        <c:axId val="0"/>
      </c:bar3DChart>
      <c:catAx>
        <c:axId val="298002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20960"/>
        <c:crosses val="autoZero"/>
        <c:auto val="1"/>
        <c:lblAlgn val="ctr"/>
        <c:lblOffset val="100"/>
        <c:noMultiLvlLbl val="0"/>
      </c:catAx>
      <c:valAx>
        <c:axId val="251220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00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[Stock_Market_Dataset.xlsx]Company-wise Trading Volume!PivotTable2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Company-wise Trading Volume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067043676896995"/>
          <c:y val="0.25141914191419146"/>
          <c:w val="0.79275433463585132"/>
          <c:h val="0.60205763883474961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'Company-wise Trading Volume'!$B$3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'Company-wise Trading Volume'!$A$4:$A$9</c:f>
              <c:strCache>
                <c:ptCount val="5"/>
                <c:pt idx="0">
                  <c:v>HDFC</c:v>
                </c:pt>
                <c:pt idx="1">
                  <c:v>INFY</c:v>
                </c:pt>
                <c:pt idx="2">
                  <c:v>RELIANCE</c:v>
                </c:pt>
                <c:pt idx="3">
                  <c:v>TCS</c:v>
                </c:pt>
                <c:pt idx="4">
                  <c:v>WIPRO</c:v>
                </c:pt>
              </c:strCache>
            </c:strRef>
          </c:cat>
          <c:val>
            <c:numRef>
              <c:f>'Company-wise Trading Volume'!$B$4:$B$9</c:f>
              <c:numCache>
                <c:formatCode>General</c:formatCode>
                <c:ptCount val="5"/>
                <c:pt idx="0">
                  <c:v>19271942</c:v>
                </c:pt>
                <c:pt idx="1">
                  <c:v>18604961</c:v>
                </c:pt>
                <c:pt idx="2">
                  <c:v>16102795</c:v>
                </c:pt>
                <c:pt idx="3">
                  <c:v>18391257</c:v>
                </c:pt>
                <c:pt idx="4">
                  <c:v>18356148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B-4160-8C92-3D112DFE9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5535600"/>
        <c:axId val="251243040"/>
        <c:axId val="0"/>
      </c:bar3DChart>
      <c:catAx>
        <c:axId val="33553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43040"/>
        <c:crosses val="autoZero"/>
        <c:auto val="1"/>
        <c:lblAlgn val="ctr"/>
        <c:lblOffset val="100"/>
        <c:noMultiLvlLbl val="0"/>
      </c:catAx>
      <c:valAx>
        <c:axId val="25124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53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[Stock_Market_Dataset.xlsx]Company-wise Trading Volume!PivotTable2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Company-wise Trading Volume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'Company-wise Trading Volume'!$B$3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'Company-wise Trading Volume'!$A$4:$A$9</c:f>
              <c:strCache>
                <c:ptCount val="5"/>
                <c:pt idx="0">
                  <c:v>HDFC</c:v>
                </c:pt>
                <c:pt idx="1">
                  <c:v>INFY</c:v>
                </c:pt>
                <c:pt idx="2">
                  <c:v>RELIANCE</c:v>
                </c:pt>
                <c:pt idx="3">
                  <c:v>TCS</c:v>
                </c:pt>
                <c:pt idx="4">
                  <c:v>WIPRO</c:v>
                </c:pt>
              </c:strCache>
            </c:strRef>
          </c:cat>
          <c:val>
            <c:numRef>
              <c:f>'Company-wise Trading Volume'!$B$4:$B$9</c:f>
              <c:numCache>
                <c:formatCode>General</c:formatCode>
                <c:ptCount val="5"/>
                <c:pt idx="0">
                  <c:v>19271942</c:v>
                </c:pt>
                <c:pt idx="1">
                  <c:v>18604961</c:v>
                </c:pt>
                <c:pt idx="2">
                  <c:v>16102795</c:v>
                </c:pt>
                <c:pt idx="3">
                  <c:v>18391257</c:v>
                </c:pt>
                <c:pt idx="4">
                  <c:v>18356148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E-4715-8D2E-648F5CF35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5535600"/>
        <c:axId val="251243040"/>
        <c:axId val="0"/>
      </c:bar3DChart>
      <c:catAx>
        <c:axId val="33553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43040"/>
        <c:crosses val="autoZero"/>
        <c:auto val="1"/>
        <c:lblAlgn val="ctr"/>
        <c:lblOffset val="100"/>
        <c:noMultiLvlLbl val="0"/>
      </c:catAx>
      <c:valAx>
        <c:axId val="25124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53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[Stock_Market_Dataset.xlsx]Company-wise Closing Price!PivotTable1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Company-wise Closing Price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'Company-wise Closing Price'!$B$3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'Company-wise Closing Price'!$A$4:$A$9</c:f>
              <c:strCache>
                <c:ptCount val="5"/>
                <c:pt idx="0">
                  <c:v>HDFC</c:v>
                </c:pt>
                <c:pt idx="1">
                  <c:v>INFY</c:v>
                </c:pt>
                <c:pt idx="2">
                  <c:v>RELIANCE</c:v>
                </c:pt>
                <c:pt idx="3">
                  <c:v>TCS</c:v>
                </c:pt>
                <c:pt idx="4">
                  <c:v>WIPRO</c:v>
                </c:pt>
              </c:strCache>
            </c:strRef>
          </c:cat>
          <c:val>
            <c:numRef>
              <c:f>'Company-wise Closing Price'!$B$4:$B$9</c:f>
              <c:numCache>
                <c:formatCode>General</c:formatCode>
                <c:ptCount val="5"/>
                <c:pt idx="0">
                  <c:v>682.76150000000007</c:v>
                </c:pt>
                <c:pt idx="1">
                  <c:v>1254.4409999999998</c:v>
                </c:pt>
                <c:pt idx="2">
                  <c:v>2367.9281666666657</c:v>
                </c:pt>
                <c:pt idx="3">
                  <c:v>2889.1989999999996</c:v>
                </c:pt>
                <c:pt idx="4">
                  <c:v>1954.3548333333333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60-4FD6-8CF4-E0E38DF3B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8002016"/>
        <c:axId val="251220960"/>
        <c:axId val="0"/>
      </c:bar3DChart>
      <c:catAx>
        <c:axId val="298002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20960"/>
        <c:crosses val="autoZero"/>
        <c:auto val="1"/>
        <c:lblAlgn val="ctr"/>
        <c:lblOffset val="100"/>
        <c:noMultiLvlLbl val="0"/>
      </c:catAx>
      <c:valAx>
        <c:axId val="251220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00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[Stock_Market_Dataset.xlsx]ProfitLoss Distribution!PivotTable3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Profit/Loss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'ProfitLoss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B2-40D4-9051-75FCCA9A68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B2-40D4-9051-75FCCA9A6816}"/>
              </c:ext>
            </c:extLst>
          </c:dPt>
          <c:cat>
            <c:strRef>
              <c:f>'ProfitLoss Distribution'!$A$4:$A$6</c:f>
              <c:strCache>
                <c:ptCount val="2"/>
                <c:pt idx="0">
                  <c:v>Loss</c:v>
                </c:pt>
                <c:pt idx="1">
                  <c:v>Profit</c:v>
                </c:pt>
              </c:strCache>
            </c:strRef>
          </c:cat>
          <c:val>
            <c:numRef>
              <c:f>'ProfitLoss Distribution'!$B$4:$B$6</c:f>
              <c:numCache>
                <c:formatCode>General</c:formatCode>
                <c:ptCount val="2"/>
                <c:pt idx="0">
                  <c:v>146</c:v>
                </c:pt>
                <c:pt idx="1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6-4E31-9C6A-68659BC3B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[Stock_Market_Dataset.xlsx]Trading Activity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Trading</a:t>
            </a:r>
            <a:r>
              <a:rPr lang="en-IN" baseline="0"/>
              <a:t> Activity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'Trading Activity Analysis'!$B$3:$B$4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'Trading Activity Analysis'!$A$5:$A$10</c:f>
              <c:strCache>
                <c:ptCount val="5"/>
                <c:pt idx="0">
                  <c:v>HDFC</c:v>
                </c:pt>
                <c:pt idx="1">
                  <c:v>INFY</c:v>
                </c:pt>
                <c:pt idx="2">
                  <c:v>RELIANCE</c:v>
                </c:pt>
                <c:pt idx="3">
                  <c:v>TCS</c:v>
                </c:pt>
                <c:pt idx="4">
                  <c:v>WIPRO</c:v>
                </c:pt>
              </c:strCache>
            </c:strRef>
          </c:cat>
          <c:val>
            <c:numRef>
              <c:f>'Trading Activity Analysis'!$B$5:$B$10</c:f>
              <c:numCache>
                <c:formatCode>General</c:formatCode>
                <c:ptCount val="5"/>
                <c:pt idx="0">
                  <c:v>31</c:v>
                </c:pt>
                <c:pt idx="1">
                  <c:v>31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9-4CF1-8AD2-AF2F1DC632AC}"/>
            </c:ext>
          </c:extLst>
        </c:ser>
        <c:ser>
          <c:idx val="1"/>
          <c:order val="1"/>
          <c:tx>
            <c:strRef>
              <c:f>'Trading Activity Analysis'!$C$3:$C$4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'Trading Activity Analysis'!$A$5:$A$10</c:f>
              <c:strCache>
                <c:ptCount val="5"/>
                <c:pt idx="0">
                  <c:v>HDFC</c:v>
                </c:pt>
                <c:pt idx="1">
                  <c:v>INFY</c:v>
                </c:pt>
                <c:pt idx="2">
                  <c:v>RELIANCE</c:v>
                </c:pt>
                <c:pt idx="3">
                  <c:v>TCS</c:v>
                </c:pt>
                <c:pt idx="4">
                  <c:v>WIPRO</c:v>
                </c:pt>
              </c:strCache>
            </c:strRef>
          </c:cat>
          <c:val>
            <c:numRef>
              <c:f>'Trading Activity Analysis'!$C$5:$C$10</c:f>
              <c:numCache>
                <c:formatCode>General</c:formatCode>
                <c:ptCount val="5"/>
                <c:pt idx="0">
                  <c:v>29</c:v>
                </c:pt>
                <c:pt idx="1">
                  <c:v>29</c:v>
                </c:pt>
                <c:pt idx="2">
                  <c:v>39</c:v>
                </c:pt>
                <c:pt idx="3">
                  <c:v>32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89-4CF1-8AD2-AF2F1DC63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7542576"/>
        <c:axId val="162888608"/>
        <c:axId val="0"/>
      </c:bar3DChart>
      <c:catAx>
        <c:axId val="33754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88608"/>
        <c:crosses val="autoZero"/>
        <c:auto val="1"/>
        <c:lblAlgn val="ctr"/>
        <c:lblOffset val="100"/>
        <c:noMultiLvlLbl val="0"/>
      </c:catAx>
      <c:valAx>
        <c:axId val="162888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4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12</xdr:row>
      <xdr:rowOff>133350</xdr:rowOff>
    </xdr:from>
    <xdr:to>
      <xdr:col>13</xdr:col>
      <xdr:colOff>533400</xdr:colOff>
      <xdr:row>22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64266A-F644-4230-AB61-91C9647C3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12</xdr:row>
      <xdr:rowOff>114300</xdr:rowOff>
    </xdr:from>
    <xdr:to>
      <xdr:col>7</xdr:col>
      <xdr:colOff>0</xdr:colOff>
      <xdr:row>22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C445FB-2AAB-4F0C-BEB3-F329074B3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66675</xdr:colOff>
      <xdr:row>2</xdr:row>
      <xdr:rowOff>47625</xdr:rowOff>
    </xdr:from>
    <xdr:to>
      <xdr:col>13</xdr:col>
      <xdr:colOff>533401</xdr:colOff>
      <xdr:row>12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1CF6FFF-5925-4A4D-9F96-BD54869E6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2</xdr:row>
      <xdr:rowOff>47626</xdr:rowOff>
    </xdr:from>
    <xdr:to>
      <xdr:col>7</xdr:col>
      <xdr:colOff>0</xdr:colOff>
      <xdr:row>12</xdr:row>
      <xdr:rowOff>66676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AF468AF-D7F1-4839-8E3C-67E45D969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2</xdr:row>
      <xdr:rowOff>66675</xdr:rowOff>
    </xdr:from>
    <xdr:to>
      <xdr:col>10</xdr:col>
      <xdr:colOff>514350</xdr:colOff>
      <xdr:row>17</xdr:row>
      <xdr:rowOff>52386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EC8696-A1D1-6D28-2277-53F5E9E68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1</xdr:row>
      <xdr:rowOff>147637</xdr:rowOff>
    </xdr:from>
    <xdr:to>
      <xdr:col>10</xdr:col>
      <xdr:colOff>85725</xdr:colOff>
      <xdr:row>16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1C7342-8FFF-519F-7236-62A89A937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166687</xdr:rowOff>
    </xdr:from>
    <xdr:to>
      <xdr:col>9</xdr:col>
      <xdr:colOff>533400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8EFCF4-938B-2240-441F-85327FD81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1</xdr:row>
      <xdr:rowOff>176212</xdr:rowOff>
    </xdr:from>
    <xdr:to>
      <xdr:col>12</xdr:col>
      <xdr:colOff>247650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415D3-101C-83A0-B3ED-249C6F0D6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andika A" refreshedDate="46299.637069212964" createdVersion="8" refreshedVersion="8" minRefreshableVersion="3" recordCount="300" xr:uid="{2319F9E8-8165-4DBC-A55D-00E073972224}">
  <cacheSource type="worksheet">
    <worksheetSource name="Stock_Market_Dataset"/>
  </cacheSource>
  <cacheFields count="12">
    <cacheField name="Date" numFmtId="14">
      <sharedItems containsSemiMixedTypes="0" containsNonDate="0" containsDate="1" containsString="0" minDate="2025-03-07T00:00:00" maxDate="2025-05-30T00:00:00"/>
    </cacheField>
    <cacheField name="Company" numFmtId="0">
      <sharedItems count="5">
        <s v="TCS"/>
        <s v="INFY"/>
        <s v="WIPRO"/>
        <s v="HDFC"/>
        <s v="RELIANCE"/>
      </sharedItems>
    </cacheField>
    <cacheField name="Open" numFmtId="0">
      <sharedItems containsSemiMixedTypes="0" containsString="0" containsNumber="1" minValue="664.9" maxValue="2921.72"/>
    </cacheField>
    <cacheField name="High" numFmtId="0">
      <sharedItems containsSemiMixedTypes="0" containsString="0" containsNumber="1" minValue="674.41" maxValue="2933.13"/>
    </cacheField>
    <cacheField name="Low" numFmtId="0">
      <sharedItems containsSemiMixedTypes="0" containsString="0" containsNumber="1" minValue="648.57000000000005" maxValue="2916.34"/>
    </cacheField>
    <cacheField name="Close" numFmtId="0">
      <sharedItems containsSemiMixedTypes="0" containsString="0" containsNumber="1" minValue="652.79" maxValue="2920.44"/>
    </cacheField>
    <cacheField name="Adj Close" numFmtId="0">
      <sharedItems containsSemiMixedTypes="0" containsString="0" containsNumber="1" minValue="653.55999999999995" maxValue="2922.34"/>
    </cacheField>
    <cacheField name="Volume" numFmtId="0">
      <sharedItems containsSemiMixedTypes="0" containsString="0" containsNumber="1" containsInteger="1" minValue="100814" maxValue="499244"/>
    </cacheField>
    <cacheField name="Daily Return %" numFmtId="10">
      <sharedItems containsSemiMixedTypes="0" containsString="0" containsNumber="1" minValue="-2.35E-2" maxValue="1.6199999999999999E-2"/>
    </cacheField>
    <cacheField name="5-Day Moving Average" numFmtId="0">
      <sharedItems containsSemiMixedTypes="0" containsString="0" containsNumber="1" minValue="1530.88" maxValue="2368.52"/>
    </cacheField>
    <cacheField name="Profit_Value" numFmtId="0">
      <sharedItems containsSemiMixedTypes="0" containsString="0" containsNumber="1" minValue="-15.99" maxValue="20.37"/>
    </cacheField>
    <cacheField name="Profit/Loss" numFmtId="0">
      <sharedItems count="2">
        <s v="Profit"/>
        <s v="Lo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d v="2025-03-07T00:00:00"/>
    <x v="0"/>
    <n v="2892.97"/>
    <n v="2908.95"/>
    <n v="2878.99"/>
    <n v="2893.28"/>
    <n v="2891.9"/>
    <n v="114835"/>
    <n v="1E-4"/>
    <n v="1829.86"/>
    <n v="0.31"/>
    <x v="0"/>
  </r>
  <r>
    <d v="2025-03-07T00:00:00"/>
    <x v="1"/>
    <n v="1266.67"/>
    <n v="1271.8900000000001"/>
    <n v="1259.93"/>
    <n v="1262.3699999999999"/>
    <n v="1260.55"/>
    <n v="192803"/>
    <n v="-3.3999999999999998E-3"/>
    <n v="1831.404"/>
    <n v="-4.3"/>
    <x v="1"/>
  </r>
  <r>
    <d v="2025-03-07T00:00:00"/>
    <x v="2"/>
    <n v="1949.49"/>
    <n v="1957.29"/>
    <n v="1940.21"/>
    <n v="1946.31"/>
    <n v="1945"/>
    <n v="323996"/>
    <n v="-1.6000000000000001E-3"/>
    <n v="1830.538"/>
    <n v="-3.18"/>
    <x v="1"/>
  </r>
  <r>
    <d v="2025-03-07T00:00:00"/>
    <x v="3"/>
    <n v="688.6"/>
    <n v="703.98"/>
    <n v="670.86"/>
    <n v="692.82"/>
    <n v="691.82"/>
    <n v="466456"/>
    <n v="6.1000000000000004E-3"/>
    <n v="1829.46"/>
    <n v="4.22"/>
    <x v="0"/>
  </r>
  <r>
    <d v="2025-03-07T00:00:00"/>
    <x v="4"/>
    <n v="2354.7399999999998"/>
    <n v="2374.5500000000002"/>
    <n v="2349.14"/>
    <n v="2354.52"/>
    <n v="2355.9899999999998"/>
    <n v="133075"/>
    <n v="-1E-4"/>
    <n v="1824.45"/>
    <n v="-0.22"/>
    <x v="1"/>
  </r>
  <r>
    <d v="2025-03-10T00:00:00"/>
    <x v="0"/>
    <n v="2890.79"/>
    <n v="2906.41"/>
    <n v="2885.48"/>
    <n v="2901"/>
    <n v="2902.88"/>
    <n v="327903"/>
    <n v="3.5000000000000001E-3"/>
    <n v="1826.182"/>
    <n v="10.210000000000001"/>
    <x v="0"/>
  </r>
  <r>
    <d v="2025-03-10T00:00:00"/>
    <x v="1"/>
    <n v="1251.6300000000001"/>
    <n v="1258.0999999999999"/>
    <n v="1239.26"/>
    <n v="1258.04"/>
    <n v="1257.93"/>
    <n v="165944"/>
    <n v="5.1000000000000004E-3"/>
    <n v="1823.184"/>
    <n v="6.41"/>
    <x v="0"/>
  </r>
  <r>
    <d v="2025-03-10T00:00:00"/>
    <x v="2"/>
    <n v="1930.97"/>
    <n v="1950.71"/>
    <n v="1924.29"/>
    <n v="1940.92"/>
    <n v="1940.51"/>
    <n v="156769"/>
    <n v="5.1999999999999998E-3"/>
    <n v="1820.296"/>
    <n v="9.9499999999999993"/>
    <x v="0"/>
  </r>
  <r>
    <d v="2025-03-10T00:00:00"/>
    <x v="3"/>
    <n v="667.73"/>
    <n v="687.55"/>
    <n v="648.57000000000005"/>
    <n v="667.77"/>
    <n v="665.93"/>
    <n v="474865"/>
    <n v="1E-4"/>
    <n v="1822.1659999999999"/>
    <n v="0.04"/>
    <x v="0"/>
  </r>
  <r>
    <d v="2025-03-10T00:00:00"/>
    <x v="4"/>
    <n v="2351.38"/>
    <n v="2367.2600000000002"/>
    <n v="2339.08"/>
    <n v="2363.1799999999998"/>
    <n v="2364.67"/>
    <n v="151542"/>
    <n v="5.0000000000000001E-3"/>
    <n v="1825.6980000000001"/>
    <n v="11.8"/>
    <x v="0"/>
  </r>
  <r>
    <d v="2025-03-11T00:00:00"/>
    <x v="0"/>
    <n v="2883.31"/>
    <n v="2891.04"/>
    <n v="2875.56"/>
    <n v="2886.01"/>
    <n v="2885.23"/>
    <n v="284736"/>
    <n v="8.9999999999999998E-4"/>
    <n v="1826.5260000000001"/>
    <n v="2.7"/>
    <x v="0"/>
  </r>
  <r>
    <d v="2025-03-11T00:00:00"/>
    <x v="1"/>
    <n v="1251.47"/>
    <n v="1262.45"/>
    <n v="1237.23"/>
    <n v="1243.5999999999999"/>
    <n v="1244.1400000000001"/>
    <n v="250957"/>
    <n v="-6.3E-3"/>
    <n v="1822.1679999999999"/>
    <n v="-7.87"/>
    <x v="1"/>
  </r>
  <r>
    <d v="2025-03-11T00:00:00"/>
    <x v="2"/>
    <n v="1950.23"/>
    <n v="1957.79"/>
    <n v="1935.2"/>
    <n v="1950.27"/>
    <n v="1951.99"/>
    <n v="204247"/>
    <n v="0"/>
    <n v="1823.71"/>
    <n v="0.04"/>
    <x v="0"/>
  </r>
  <r>
    <d v="2025-03-11T00:00:00"/>
    <x v="3"/>
    <n v="687.3"/>
    <n v="695.01"/>
    <n v="673.78"/>
    <n v="685.43"/>
    <n v="687.09"/>
    <n v="342063"/>
    <n v="-2.7000000000000001E-3"/>
    <n v="1829.828"/>
    <n v="-1.87"/>
    <x v="1"/>
  </r>
  <r>
    <d v="2025-03-11T00:00:00"/>
    <x v="4"/>
    <n v="2365.27"/>
    <n v="2374.42"/>
    <n v="2351.38"/>
    <n v="2367.3200000000002"/>
    <n v="2368.9699999999998"/>
    <n v="305545"/>
    <n v="8.9999999999999998E-4"/>
    <n v="1830.0640000000001"/>
    <n v="2.0499999999999998"/>
    <x v="0"/>
  </r>
  <r>
    <d v="2025-03-12T00:00:00"/>
    <x v="0"/>
    <n v="2861.87"/>
    <n v="2871.24"/>
    <n v="2847.69"/>
    <n v="2864.22"/>
    <n v="2862.78"/>
    <n v="488073"/>
    <n v="8.0000000000000004E-4"/>
    <n v="1829.66"/>
    <n v="2.35"/>
    <x v="0"/>
  </r>
  <r>
    <d v="2025-03-12T00:00:00"/>
    <x v="1"/>
    <n v="1252.72"/>
    <n v="1267.1099999999999"/>
    <n v="1240.17"/>
    <n v="1251.31"/>
    <n v="1252.74"/>
    <n v="474764"/>
    <n v="-1.1000000000000001E-3"/>
    <n v="1830.694"/>
    <n v="-1.41"/>
    <x v="1"/>
  </r>
  <r>
    <d v="2025-03-12T00:00:00"/>
    <x v="2"/>
    <n v="1976.43"/>
    <n v="1985.63"/>
    <n v="1959.89"/>
    <n v="1980.86"/>
    <n v="1979.61"/>
    <n v="340506"/>
    <n v="2.2000000000000001E-3"/>
    <n v="1828.8720000000001"/>
    <n v="4.43"/>
    <x v="0"/>
  </r>
  <r>
    <d v="2025-03-12T00:00:00"/>
    <x v="3"/>
    <n v="687.47"/>
    <n v="707.04"/>
    <n v="668.31"/>
    <n v="686.61"/>
    <n v="686.51"/>
    <n v="316105"/>
    <n v="-1.2999999999999999E-3"/>
    <n v="1820.9659999999999"/>
    <n v="-0.86"/>
    <x v="1"/>
  </r>
  <r>
    <d v="2025-03-12T00:00:00"/>
    <x v="4"/>
    <n v="2372.33"/>
    <n v="2386.8000000000002"/>
    <n v="2356.33"/>
    <n v="2365.3000000000002"/>
    <n v="2363.83"/>
    <n v="227627"/>
    <n v="-3.0000000000000001E-3"/>
    <n v="1819.566"/>
    <n v="-7.03"/>
    <x v="1"/>
  </r>
  <r>
    <d v="2025-03-13T00:00:00"/>
    <x v="0"/>
    <n v="2878.92"/>
    <n v="2890.76"/>
    <n v="2862.14"/>
    <n v="2869.39"/>
    <n v="2868.19"/>
    <n v="390916"/>
    <n v="-3.3E-3"/>
    <n v="1821.068"/>
    <n v="-9.5299999999999994"/>
    <x v="1"/>
  </r>
  <r>
    <d v="2025-03-13T00:00:00"/>
    <x v="1"/>
    <n v="1244.18"/>
    <n v="1250.24"/>
    <n v="1229.54"/>
    <n v="1242.2"/>
    <n v="1240.31"/>
    <n v="180880"/>
    <n v="-1.6000000000000001E-3"/>
    <n v="1829.462"/>
    <n v="-1.98"/>
    <x v="1"/>
  </r>
  <r>
    <d v="2025-03-13T00:00:00"/>
    <x v="2"/>
    <n v="1948.37"/>
    <n v="1960.98"/>
    <n v="1939.73"/>
    <n v="1941.33"/>
    <n v="1939.79"/>
    <n v="269412"/>
    <n v="-3.5999999999999999E-3"/>
    <n v="1833.5239999999999"/>
    <n v="-7.04"/>
    <x v="1"/>
  </r>
  <r>
    <d v="2025-03-13T00:00:00"/>
    <x v="3"/>
    <n v="683.28"/>
    <n v="693.07"/>
    <n v="665.85"/>
    <n v="679.61"/>
    <n v="677.76"/>
    <n v="240741"/>
    <n v="-5.4000000000000003E-3"/>
    <n v="1834.848"/>
    <n v="-3.67"/>
    <x v="1"/>
  </r>
  <r>
    <d v="2025-03-13T00:00:00"/>
    <x v="4"/>
    <n v="2371.94"/>
    <n v="2379.64"/>
    <n v="2363.38"/>
    <n v="2372.81"/>
    <n v="2374.6999999999998"/>
    <n v="482417"/>
    <n v="4.0000000000000002E-4"/>
    <n v="1833.2840000000001"/>
    <n v="0.87"/>
    <x v="0"/>
  </r>
  <r>
    <d v="2025-03-14T00:00:00"/>
    <x v="0"/>
    <n v="2913.59"/>
    <n v="2919.29"/>
    <n v="2899.48"/>
    <n v="2911.36"/>
    <n v="2910.04"/>
    <n v="130980"/>
    <n v="-8.0000000000000004E-4"/>
    <n v="1832.846"/>
    <n v="-2.23"/>
    <x v="1"/>
  </r>
  <r>
    <d v="2025-03-14T00:00:00"/>
    <x v="1"/>
    <n v="1260.47"/>
    <n v="1274.0999999999999"/>
    <n v="1249.6500000000001"/>
    <n v="1262.51"/>
    <n v="1263.08"/>
    <n v="188539"/>
    <n v="1.6000000000000001E-3"/>
    <n v="1827.046"/>
    <n v="2.04"/>
    <x v="0"/>
  </r>
  <r>
    <d v="2025-03-14T00:00:00"/>
    <x v="2"/>
    <n v="1940.76"/>
    <n v="1954.48"/>
    <n v="1933.44"/>
    <n v="1947.95"/>
    <n v="1947.87"/>
    <n v="171024"/>
    <n v="3.7000000000000002E-3"/>
    <n v="1828.49"/>
    <n v="7.19"/>
    <x v="0"/>
  </r>
  <r>
    <d v="2025-03-14T00:00:00"/>
    <x v="3"/>
    <n v="668.95"/>
    <n v="675.76"/>
    <n v="662.8"/>
    <n v="671.79"/>
    <n v="672.58"/>
    <n v="445061"/>
    <n v="4.1999999999999997E-3"/>
    <n v="1829.146"/>
    <n v="2.84"/>
    <x v="0"/>
  </r>
  <r>
    <d v="2025-03-14T00:00:00"/>
    <x v="4"/>
    <n v="2370.2399999999998"/>
    <n v="2382.62"/>
    <n v="2361.5300000000002"/>
    <n v="2370.62"/>
    <n v="2372.1"/>
    <n v="419364"/>
    <n v="2.0000000000000001E-4"/>
    <n v="1832.63"/>
    <n v="0.38"/>
    <x v="0"/>
  </r>
  <r>
    <d v="2025-03-17T00:00:00"/>
    <x v="0"/>
    <n v="2881.99"/>
    <n v="2897.25"/>
    <n v="2870.39"/>
    <n v="2882.36"/>
    <n v="2880.85"/>
    <n v="424017"/>
    <n v="1E-4"/>
    <n v="1830.252"/>
    <n v="0.37"/>
    <x v="0"/>
  </r>
  <r>
    <d v="2025-03-17T00:00:00"/>
    <x v="1"/>
    <n v="1275.33"/>
    <n v="1294.45"/>
    <n v="1264.54"/>
    <n v="1269.73"/>
    <n v="1271.57"/>
    <n v="277740"/>
    <n v="-4.4000000000000003E-3"/>
    <n v="1831.2819999999999"/>
    <n v="-5.6"/>
    <x v="1"/>
  </r>
  <r>
    <d v="2025-03-17T00:00:00"/>
    <x v="2"/>
    <n v="1949.48"/>
    <n v="1959.53"/>
    <n v="1942.46"/>
    <n v="1951.23"/>
    <n v="1949.48"/>
    <n v="378755"/>
    <n v="8.9999999999999998E-4"/>
    <n v="1826.5820000000001"/>
    <n v="1.75"/>
    <x v="0"/>
  </r>
  <r>
    <d v="2025-03-17T00:00:00"/>
    <x v="3"/>
    <n v="695.56"/>
    <n v="701.54"/>
    <n v="685.83"/>
    <n v="689.21"/>
    <n v="689.37"/>
    <n v="150185"/>
    <n v="-9.1000000000000004E-3"/>
    <n v="1826.9739999999999"/>
    <n v="-6.35"/>
    <x v="1"/>
  </r>
  <r>
    <d v="2025-03-17T00:00:00"/>
    <x v="4"/>
    <n v="2374.7199999999998"/>
    <n v="2385.11"/>
    <n v="2360.83"/>
    <n v="2358.73"/>
    <n v="2357.38"/>
    <n v="223269"/>
    <n v="-6.7000000000000002E-3"/>
    <n v="1825.0840000000001"/>
    <n v="-15.99"/>
    <x v="1"/>
  </r>
  <r>
    <d v="2025-03-18T00:00:00"/>
    <x v="0"/>
    <n v="2882.66"/>
    <n v="2901.3"/>
    <n v="2873.78"/>
    <n v="2887.51"/>
    <n v="2888.16"/>
    <n v="124549"/>
    <n v="1.6999999999999999E-3"/>
    <n v="1826.8019999999999"/>
    <n v="4.8499999999999996"/>
    <x v="0"/>
  </r>
  <r>
    <d v="2025-03-18T00:00:00"/>
    <x v="1"/>
    <n v="1249.1400000000001"/>
    <n v="1258.92"/>
    <n v="1231.47"/>
    <n v="1246.23"/>
    <n v="1244.32"/>
    <n v="421733"/>
    <n v="-2.3E-3"/>
    <n v="1825.902"/>
    <n v="-2.91"/>
    <x v="1"/>
  </r>
  <r>
    <d v="2025-03-18T00:00:00"/>
    <x v="2"/>
    <n v="1949.98"/>
    <n v="1965.2"/>
    <n v="1933.58"/>
    <n v="1953.19"/>
    <n v="1953.57"/>
    <n v="318892"/>
    <n v="1.6000000000000001E-3"/>
    <n v="1826.26"/>
    <n v="3.21"/>
    <x v="0"/>
  </r>
  <r>
    <d v="2025-03-18T00:00:00"/>
    <x v="3"/>
    <n v="676.49"/>
    <n v="690.88"/>
    <n v="658.2"/>
    <n v="679.76"/>
    <n v="680.22"/>
    <n v="385644"/>
    <n v="4.7999999999999996E-3"/>
    <n v="1820.21"/>
    <n v="3.27"/>
    <x v="0"/>
  </r>
  <r>
    <d v="2025-03-18T00:00:00"/>
    <x v="4"/>
    <n v="2370.7399999999998"/>
    <n v="2379.61"/>
    <n v="2355.89"/>
    <n v="2367.3200000000002"/>
    <n v="2366.62"/>
    <n v="353520"/>
    <n v="-1.4E-3"/>
    <n v="1822.298"/>
    <n v="-3.42"/>
    <x v="1"/>
  </r>
  <r>
    <d v="2025-03-19T00:00:00"/>
    <x v="0"/>
    <n v="2890.09"/>
    <n v="2903.29"/>
    <n v="2882.32"/>
    <n v="2883.01"/>
    <n v="2884.89"/>
    <n v="237271"/>
    <n v="-2.3999999999999998E-3"/>
    <n v="1822.4179999999999"/>
    <n v="-7.08"/>
    <x v="1"/>
  </r>
  <r>
    <d v="2025-03-19T00:00:00"/>
    <x v="1"/>
    <n v="1248.1099999999999"/>
    <n v="1254.8800000000001"/>
    <n v="1232.6600000000001"/>
    <n v="1248.02"/>
    <n v="1248.54"/>
    <n v="110013"/>
    <n v="-1E-4"/>
    <n v="1825.9860000000001"/>
    <n v="-0.09"/>
    <x v="1"/>
  </r>
  <r>
    <d v="2025-03-19T00:00:00"/>
    <x v="2"/>
    <n v="1931.28"/>
    <n v="1941.51"/>
    <n v="1912.34"/>
    <n v="1922.94"/>
    <n v="1924.26"/>
    <n v="142690"/>
    <n v="-4.3E-3"/>
    <n v="1829.27"/>
    <n v="-8.34"/>
    <x v="1"/>
  </r>
  <r>
    <d v="2025-03-19T00:00:00"/>
    <x v="3"/>
    <n v="683.82"/>
    <n v="702.91"/>
    <n v="666.84"/>
    <n v="690.2"/>
    <n v="692.19"/>
    <n v="195731"/>
    <n v="9.2999999999999992E-3"/>
    <n v="1836.4839999999999"/>
    <n v="6.38"/>
    <x v="0"/>
  </r>
  <r>
    <d v="2025-03-19T00:00:00"/>
    <x v="4"/>
    <n v="2362.3200000000002"/>
    <n v="2381.87"/>
    <n v="2350.5100000000002"/>
    <n v="2367.92"/>
    <n v="2366.86"/>
    <n v="107274"/>
    <n v="2.3999999999999998E-3"/>
    <n v="1836.69"/>
    <n v="5.6"/>
    <x v="0"/>
  </r>
  <r>
    <d v="2025-03-20T00:00:00"/>
    <x v="0"/>
    <n v="2890.19"/>
    <n v="2909.02"/>
    <n v="2883.86"/>
    <n v="2900.85"/>
    <n v="2899.63"/>
    <n v="447443"/>
    <n v="3.7000000000000002E-3"/>
    <n v="1833.1679999999999"/>
    <n v="10.66"/>
    <x v="0"/>
  </r>
  <r>
    <d v="2025-03-20T00:00:00"/>
    <x v="1"/>
    <n v="1257.6199999999999"/>
    <n v="1274.67"/>
    <n v="1248.3900000000001"/>
    <n v="1264.44"/>
    <n v="1263.1500000000001"/>
    <n v="312666"/>
    <n v="5.4000000000000003E-3"/>
    <n v="1830.24"/>
    <n v="6.82"/>
    <x v="0"/>
  </r>
  <r>
    <d v="2025-03-20T00:00:00"/>
    <x v="2"/>
    <n v="1957.7"/>
    <n v="1965.42"/>
    <n v="1951.7"/>
    <n v="1959.01"/>
    <n v="1959.97"/>
    <n v="477610"/>
    <n v="6.9999999999999999E-4"/>
    <n v="1831.124"/>
    <n v="1.31"/>
    <x v="0"/>
  </r>
  <r>
    <d v="2025-03-20T00:00:00"/>
    <x v="3"/>
    <n v="695.23"/>
    <n v="706.26"/>
    <n v="683.03"/>
    <n v="691.23"/>
    <n v="691.74"/>
    <n v="468353"/>
    <n v="-5.7999999999999996E-3"/>
    <n v="1832.13"/>
    <n v="-4"/>
    <x v="1"/>
  </r>
  <r>
    <d v="2025-03-20T00:00:00"/>
    <x v="4"/>
    <n v="2346.0500000000002"/>
    <n v="2363.48"/>
    <n v="2334.59"/>
    <n v="2350.31"/>
    <n v="2349.3000000000002"/>
    <n v="387362"/>
    <n v="1.8E-3"/>
    <n v="1830.5719999999999"/>
    <n v="4.26"/>
    <x v="0"/>
  </r>
  <r>
    <d v="2025-03-21T00:00:00"/>
    <x v="0"/>
    <n v="2886.84"/>
    <n v="2897.67"/>
    <n v="2877.77"/>
    <n v="2886.21"/>
    <n v="2887.52"/>
    <n v="454936"/>
    <n v="-2.0000000000000001E-4"/>
    <n v="1837.7619999999999"/>
    <n v="-0.63"/>
    <x v="1"/>
  </r>
  <r>
    <d v="2025-03-21T00:00:00"/>
    <x v="1"/>
    <n v="1261.47"/>
    <n v="1281.33"/>
    <n v="1250.28"/>
    <n v="1268.8599999999999"/>
    <n v="1268.3499999999999"/>
    <n v="420650"/>
    <n v="5.8999999999999999E-3"/>
    <n v="1835.1479999999999"/>
    <n v="7.39"/>
    <x v="0"/>
  </r>
  <r>
    <d v="2025-03-21T00:00:00"/>
    <x v="2"/>
    <n v="1967.68"/>
    <n v="1974.78"/>
    <n v="1950.75"/>
    <n v="1964.04"/>
    <n v="1962.85"/>
    <n v="189681"/>
    <n v="-1.8E-3"/>
    <n v="1832.1079999999999"/>
    <n v="-3.64"/>
    <x v="1"/>
  </r>
  <r>
    <d v="2025-03-21T00:00:00"/>
    <x v="3"/>
    <n v="678.54"/>
    <n v="689.86"/>
    <n v="662.48"/>
    <n v="683.44"/>
    <n v="682.4"/>
    <n v="460010"/>
    <n v="7.1999999999999998E-3"/>
    <n v="1829.768"/>
    <n v="4.9000000000000004"/>
    <x v="0"/>
  </r>
  <r>
    <d v="2025-03-21T00:00:00"/>
    <x v="4"/>
    <n v="2382.0100000000002"/>
    <n v="2389.52"/>
    <n v="2374.5"/>
    <n v="2386.2600000000002"/>
    <n v="2384.41"/>
    <n v="377502"/>
    <n v="1.8E-3"/>
    <n v="1828.2619999999999"/>
    <n v="4.25"/>
    <x v="0"/>
  </r>
  <r>
    <d v="2025-03-24T00:00:00"/>
    <x v="0"/>
    <n v="2874.53"/>
    <n v="2887.67"/>
    <n v="2867.42"/>
    <n v="2873.14"/>
    <n v="2874.35"/>
    <n v="221976"/>
    <n v="-5.0000000000000001E-4"/>
    <n v="1826.7719999999999"/>
    <n v="-1.39"/>
    <x v="1"/>
  </r>
  <r>
    <d v="2025-03-24T00:00:00"/>
    <x v="1"/>
    <n v="1247.31"/>
    <n v="1266.27"/>
    <n v="1229.43"/>
    <n v="1253.6600000000001"/>
    <n v="1253.3800000000001"/>
    <n v="256143"/>
    <n v="5.1000000000000004E-3"/>
    <n v="1827.7860000000001"/>
    <n v="6.35"/>
    <x v="0"/>
  </r>
  <r>
    <d v="2025-03-24T00:00:00"/>
    <x v="2"/>
    <n v="1952.82"/>
    <n v="1970.04"/>
    <n v="1937.84"/>
    <n v="1952.34"/>
    <n v="1952.43"/>
    <n v="378561"/>
    <n v="-2.0000000000000001E-4"/>
    <n v="1829.1179999999999"/>
    <n v="-0.48"/>
    <x v="1"/>
  </r>
  <r>
    <d v="2025-03-24T00:00:00"/>
    <x v="3"/>
    <n v="680"/>
    <n v="689.31"/>
    <n v="670.56"/>
    <n v="675.91"/>
    <n v="674.84"/>
    <n v="243211"/>
    <n v="-6.0000000000000001E-3"/>
    <n v="1830.63"/>
    <n v="-4.09"/>
    <x v="1"/>
  </r>
  <r>
    <d v="2025-03-24T00:00:00"/>
    <x v="4"/>
    <n v="2375.4699999999998"/>
    <n v="2387.59"/>
    <n v="2357.81"/>
    <n v="2378.81"/>
    <n v="2380.0300000000002"/>
    <n v="168821"/>
    <n v="1.4E-3"/>
    <n v="1831.77"/>
    <n v="3.34"/>
    <x v="0"/>
  </r>
  <r>
    <d v="2025-03-25T00:00:00"/>
    <x v="0"/>
    <n v="2881.23"/>
    <n v="2886.31"/>
    <n v="2864"/>
    <n v="2878.21"/>
    <n v="2879.04"/>
    <n v="138435"/>
    <n v="-1E-3"/>
    <n v="1831.848"/>
    <n v="-3.02"/>
    <x v="1"/>
  </r>
  <r>
    <d v="2025-03-25T00:00:00"/>
    <x v="1"/>
    <n v="1262.25"/>
    <n v="1268.8"/>
    <n v="1243.71"/>
    <n v="1260.32"/>
    <n v="1260.3399999999999"/>
    <n v="286504"/>
    <n v="-1.5E-3"/>
    <n v="1835.922"/>
    <n v="-1.93"/>
    <x v="1"/>
  </r>
  <r>
    <d v="2025-03-25T00:00:00"/>
    <x v="2"/>
    <n v="1964.71"/>
    <n v="1975.6"/>
    <n v="1947.46"/>
    <n v="1959.9"/>
    <n v="1959.66"/>
    <n v="251099"/>
    <n v="-2.3999999999999998E-3"/>
    <n v="1835.32"/>
    <n v="-4.8099999999999996"/>
    <x v="1"/>
  </r>
  <r>
    <d v="2025-03-25T00:00:00"/>
    <x v="3"/>
    <n v="682.65"/>
    <n v="693.41"/>
    <n v="667.46"/>
    <n v="681.61"/>
    <n v="680.48"/>
    <n v="311909"/>
    <n v="-1.5E-3"/>
    <n v="1830.288"/>
    <n v="-1.04"/>
    <x v="1"/>
  </r>
  <r>
    <d v="2025-03-25T00:00:00"/>
    <x v="4"/>
    <n v="2377.3000000000002"/>
    <n v="2385.39"/>
    <n v="2370.62"/>
    <n v="2379.1999999999998"/>
    <n v="2378.2800000000002"/>
    <n v="382205"/>
    <n v="8.0000000000000004E-4"/>
    <n v="1829.31"/>
    <n v="1.9"/>
    <x v="0"/>
  </r>
  <r>
    <d v="2025-03-26T00:00:00"/>
    <x v="0"/>
    <n v="2896.94"/>
    <n v="2903.05"/>
    <n v="2886.56"/>
    <n v="2898.58"/>
    <n v="2897.04"/>
    <n v="412649"/>
    <n v="5.9999999999999995E-4"/>
    <n v="1827.624"/>
    <n v="1.64"/>
    <x v="0"/>
  </r>
  <r>
    <d v="2025-03-26T00:00:00"/>
    <x v="1"/>
    <n v="1248.77"/>
    <n v="1267.2"/>
    <n v="1237.93"/>
    <n v="1257.31"/>
    <n v="1255.3499999999999"/>
    <n v="101039"/>
    <n v="6.7999999999999996E-3"/>
    <n v="1827.546"/>
    <n v="8.5399999999999991"/>
    <x v="0"/>
  </r>
  <r>
    <d v="2025-03-26T00:00:00"/>
    <x v="2"/>
    <n v="1949.24"/>
    <n v="1958.76"/>
    <n v="1933.03"/>
    <n v="1934.74"/>
    <n v="1934.75"/>
    <n v="307847"/>
    <n v="-7.4000000000000003E-3"/>
    <n v="1827.9680000000001"/>
    <n v="-14.5"/>
    <x v="1"/>
  </r>
  <r>
    <d v="2025-03-26T00:00:00"/>
    <x v="3"/>
    <n v="681.34"/>
    <n v="699.53"/>
    <n v="662.17"/>
    <n v="676.72"/>
    <n v="676.59"/>
    <n v="425478"/>
    <n v="-6.7999999999999996E-3"/>
    <n v="1832.4159999999999"/>
    <n v="-4.62"/>
    <x v="1"/>
  </r>
  <r>
    <d v="2025-03-26T00:00:00"/>
    <x v="4"/>
    <n v="2367.48"/>
    <n v="2386.5300000000002"/>
    <n v="2361.89"/>
    <n v="2370.77"/>
    <n v="2369.2600000000002"/>
    <n v="127508"/>
    <n v="1.4E-3"/>
    <n v="1832.9480000000001"/>
    <n v="3.29"/>
    <x v="0"/>
  </r>
  <r>
    <d v="2025-03-27T00:00:00"/>
    <x v="0"/>
    <n v="2891.31"/>
    <n v="2901.27"/>
    <n v="2885.36"/>
    <n v="2898.19"/>
    <n v="2897.43"/>
    <n v="274538"/>
    <n v="2.3999999999999998E-3"/>
    <n v="1833.2919999999999"/>
    <n v="6.88"/>
    <x v="0"/>
  </r>
  <r>
    <d v="2025-03-27T00:00:00"/>
    <x v="1"/>
    <n v="1257.24"/>
    <n v="1276.5"/>
    <n v="1243.6400000000001"/>
    <n v="1259.42"/>
    <n v="1259.95"/>
    <n v="150935"/>
    <n v="1.6999999999999999E-3"/>
    <n v="1832.34"/>
    <n v="2.1800000000000002"/>
    <x v="0"/>
  </r>
  <r>
    <d v="2025-03-27T00:00:00"/>
    <x v="2"/>
    <n v="1959.27"/>
    <n v="1970.03"/>
    <n v="1946.12"/>
    <n v="1956.98"/>
    <n v="1958.61"/>
    <n v="172458"/>
    <n v="-1.1999999999999999E-3"/>
    <n v="1826.71"/>
    <n v="-2.29"/>
    <x v="1"/>
  </r>
  <r>
    <d v="2025-03-27T00:00:00"/>
    <x v="3"/>
    <n v="671.77"/>
    <n v="691.64"/>
    <n v="663.29"/>
    <n v="679.38"/>
    <n v="681.15"/>
    <n v="353807"/>
    <n v="1.1299999999999999E-2"/>
    <n v="1825.498"/>
    <n v="7.61"/>
    <x v="0"/>
  </r>
  <r>
    <d v="2025-03-27T00:00:00"/>
    <x v="4"/>
    <n v="2374.33"/>
    <n v="2384.0700000000002"/>
    <n v="2361.7199999999998"/>
    <n v="2372.4899999999998"/>
    <n v="2370.66"/>
    <n v="381289"/>
    <n v="-8.0000000000000004E-4"/>
    <n v="1830.6"/>
    <n v="-1.84"/>
    <x v="1"/>
  </r>
  <r>
    <d v="2025-03-28T00:00:00"/>
    <x v="0"/>
    <n v="2899.8"/>
    <n v="2914.36"/>
    <n v="2881.49"/>
    <n v="2893.43"/>
    <n v="2893.32"/>
    <n v="182816"/>
    <n v="-2.2000000000000001E-3"/>
    <n v="1830.8520000000001"/>
    <n v="-6.37"/>
    <x v="1"/>
  </r>
  <r>
    <d v="2025-03-28T00:00:00"/>
    <x v="1"/>
    <n v="1236.08"/>
    <n v="1246.01"/>
    <n v="1220.99"/>
    <n v="1231.27"/>
    <n v="1232.28"/>
    <n v="116800"/>
    <n v="-3.8999999999999998E-3"/>
    <n v="1830.144"/>
    <n v="-4.8099999999999996"/>
    <x v="1"/>
  </r>
  <r>
    <d v="2025-03-28T00:00:00"/>
    <x v="2"/>
    <n v="1947.15"/>
    <n v="1966.25"/>
    <n v="1932.73"/>
    <n v="1950.92"/>
    <n v="1950.26"/>
    <n v="468490"/>
    <n v="1.9E-3"/>
    <n v="1835.962"/>
    <n v="3.77"/>
    <x v="0"/>
  </r>
  <r>
    <d v="2025-03-28T00:00:00"/>
    <x v="3"/>
    <n v="694.67"/>
    <n v="707.36"/>
    <n v="686.21"/>
    <n v="704.89"/>
    <n v="703.6"/>
    <n v="185284"/>
    <n v="1.47E-2"/>
    <n v="1837.3679999999999"/>
    <n v="10.220000000000001"/>
    <x v="0"/>
  </r>
  <r>
    <d v="2025-03-28T00:00:00"/>
    <x v="4"/>
    <n v="2368.39"/>
    <n v="2386.41"/>
    <n v="2356.5700000000002"/>
    <n v="2373.75"/>
    <n v="2373.81"/>
    <n v="161279"/>
    <n v="2.3E-3"/>
    <n v="1831.8320000000001"/>
    <n v="5.36"/>
    <x v="0"/>
  </r>
  <r>
    <d v="2025-03-31T00:00:00"/>
    <x v="0"/>
    <n v="2891.62"/>
    <n v="2908.03"/>
    <n v="2878.2"/>
    <n v="2889.89"/>
    <n v="2890.97"/>
    <n v="474614"/>
    <n v="-5.9999999999999995E-4"/>
    <n v="1834.682"/>
    <n v="-1.73"/>
    <x v="1"/>
  </r>
  <r>
    <d v="2025-03-31T00:00:00"/>
    <x v="1"/>
    <n v="1260.24"/>
    <n v="1266.6099999999999"/>
    <n v="1247.82"/>
    <n v="1260.3599999999999"/>
    <n v="1258.5899999999999"/>
    <n v="402940"/>
    <n v="1E-4"/>
    <n v="1840.73"/>
    <n v="0.12"/>
    <x v="0"/>
  </r>
  <r>
    <d v="2025-03-31T00:00:00"/>
    <x v="2"/>
    <n v="1959.38"/>
    <n v="1973.68"/>
    <n v="1946.38"/>
    <n v="1957.95"/>
    <n v="1959.53"/>
    <n v="348890"/>
    <n v="-6.9999999999999999E-4"/>
    <n v="1837.854"/>
    <n v="-1.43"/>
    <x v="1"/>
  </r>
  <r>
    <d v="2025-03-31T00:00:00"/>
    <x v="3"/>
    <n v="676.77"/>
    <n v="693.46"/>
    <n v="666.52"/>
    <n v="677.21"/>
    <n v="675.44"/>
    <n v="479291"/>
    <n v="6.9999999999999999E-4"/>
    <n v="1836.9880000000001"/>
    <n v="0.44"/>
    <x v="0"/>
  </r>
  <r>
    <d v="2025-03-31T00:00:00"/>
    <x v="4"/>
    <n v="2387.88"/>
    <n v="2394.9699999999998"/>
    <n v="2382.4299999999998"/>
    <n v="2388"/>
    <n v="2387.23"/>
    <n v="382897"/>
    <n v="1E-4"/>
    <n v="1836.32"/>
    <n v="0.12"/>
    <x v="0"/>
  </r>
  <r>
    <d v="2025-04-01T00:00:00"/>
    <x v="0"/>
    <n v="2921.72"/>
    <n v="2933.13"/>
    <n v="2916.34"/>
    <n v="2920.13"/>
    <n v="2918.56"/>
    <n v="468262"/>
    <n v="-5.0000000000000001E-4"/>
    <n v="1830.444"/>
    <n v="-1.59"/>
    <x v="1"/>
  </r>
  <r>
    <d v="2025-04-01T00:00:00"/>
    <x v="1"/>
    <n v="1233.0999999999999"/>
    <n v="1251.42"/>
    <n v="1222.8399999999999"/>
    <n v="1245.98"/>
    <n v="1244.45"/>
    <n v="154940"/>
    <n v="1.04E-2"/>
    <n v="1823.6020000000001"/>
    <n v="12.88"/>
    <x v="0"/>
  </r>
  <r>
    <d v="2025-04-01T00:00:00"/>
    <x v="2"/>
    <n v="1951.13"/>
    <n v="1960.81"/>
    <n v="1942.4"/>
    <n v="1953.62"/>
    <n v="1954.6"/>
    <n v="251377"/>
    <n v="1.2999999999999999E-3"/>
    <n v="1826.2439999999999"/>
    <n v="2.4900000000000002"/>
    <x v="0"/>
  </r>
  <r>
    <d v="2025-04-01T00:00:00"/>
    <x v="3"/>
    <n v="679.27"/>
    <n v="695.64"/>
    <n v="663.83"/>
    <n v="673.87"/>
    <n v="672.49"/>
    <n v="289931"/>
    <n v="-7.9000000000000008E-3"/>
    <n v="1826.2159999999999"/>
    <n v="-5.4"/>
    <x v="1"/>
  </r>
  <r>
    <d v="2025-04-01T00:00:00"/>
    <x v="4"/>
    <n v="2357.62"/>
    <n v="2372.7199999999998"/>
    <n v="2338.0700000000002"/>
    <n v="2358.62"/>
    <n v="2357"/>
    <n v="413641"/>
    <n v="4.0000000000000002E-4"/>
    <n v="1827.1020000000001"/>
    <n v="1"/>
    <x v="0"/>
  </r>
  <r>
    <d v="2025-04-02T00:00:00"/>
    <x v="0"/>
    <n v="2888.87"/>
    <n v="2898.59"/>
    <n v="2876.24"/>
    <n v="2885.92"/>
    <n v="2887.55"/>
    <n v="184884"/>
    <n v="-1E-3"/>
    <n v="1830.48"/>
    <n v="-2.95"/>
    <x v="1"/>
  </r>
  <r>
    <d v="2025-04-02T00:00:00"/>
    <x v="1"/>
    <n v="1258.1300000000001"/>
    <n v="1272.4000000000001"/>
    <n v="1251.6099999999999"/>
    <n v="1259.19"/>
    <n v="1257.53"/>
    <n v="111487"/>
    <n v="8.0000000000000004E-4"/>
    <n v="1829.1220000000001"/>
    <n v="1.06"/>
    <x v="0"/>
  </r>
  <r>
    <d v="2025-04-02T00:00:00"/>
    <x v="2"/>
    <n v="1956.72"/>
    <n v="1973.16"/>
    <n v="1938.57"/>
    <n v="1953.48"/>
    <n v="1952.85"/>
    <n v="419529"/>
    <n v="-1.6999999999999999E-3"/>
    <n v="1827.596"/>
    <n v="-3.24"/>
    <x v="1"/>
  </r>
  <r>
    <d v="2025-04-02T00:00:00"/>
    <x v="3"/>
    <n v="677.48"/>
    <n v="685.84"/>
    <n v="664.43"/>
    <n v="678.3"/>
    <n v="678.67"/>
    <n v="353625"/>
    <n v="1.1999999999999999E-3"/>
    <n v="1830.11"/>
    <n v="0.82"/>
    <x v="0"/>
  </r>
  <r>
    <d v="2025-04-02T00:00:00"/>
    <x v="4"/>
    <n v="2360.7600000000002"/>
    <n v="2378.7800000000002"/>
    <n v="2353.1"/>
    <n v="2375.5100000000002"/>
    <n v="2376.2800000000002"/>
    <n v="382662"/>
    <n v="6.1999999999999998E-3"/>
    <n v="1830.452"/>
    <n v="14.75"/>
    <x v="0"/>
  </r>
  <r>
    <d v="2025-04-03T00:00:00"/>
    <x v="0"/>
    <n v="2882.66"/>
    <n v="2898.99"/>
    <n v="2874.23"/>
    <n v="2879.13"/>
    <n v="2877.44"/>
    <n v="480994"/>
    <n v="-1.1999999999999999E-3"/>
    <n v="1830.316"/>
    <n v="-3.53"/>
    <x v="1"/>
  </r>
  <r>
    <d v="2025-04-03T00:00:00"/>
    <x v="1"/>
    <n v="1249.67"/>
    <n v="1267"/>
    <n v="1234.08"/>
    <n v="1251.56"/>
    <n v="1249.8900000000001"/>
    <n v="377197"/>
    <n v="1.5E-3"/>
    <n v="1830.1559999999999"/>
    <n v="1.89"/>
    <x v="0"/>
  </r>
  <r>
    <d v="2025-04-03T00:00:00"/>
    <x v="2"/>
    <n v="1968.87"/>
    <n v="1976.12"/>
    <n v="1960.43"/>
    <n v="1966.05"/>
    <n v="1966.94"/>
    <n v="145648"/>
    <n v="-1.4E-3"/>
    <n v="1826.1379999999999"/>
    <n v="-2.82"/>
    <x v="1"/>
  </r>
  <r>
    <d v="2025-04-03T00:00:00"/>
    <x v="3"/>
    <n v="674.6"/>
    <n v="692.76"/>
    <n v="665.62"/>
    <n v="680.01"/>
    <n v="678.53"/>
    <n v="499244"/>
    <n v="8.0000000000000002E-3"/>
    <n v="1827.45"/>
    <n v="5.41"/>
    <x v="0"/>
  </r>
  <r>
    <d v="2025-04-03T00:00:00"/>
    <x v="4"/>
    <n v="2366.69"/>
    <n v="2380.96"/>
    <n v="2348.66"/>
    <n v="2374.83"/>
    <n v="2375.11"/>
    <n v="201653"/>
    <n v="3.3999999999999998E-3"/>
    <n v="1829.1120000000001"/>
    <n v="8.14"/>
    <x v="0"/>
  </r>
  <r>
    <d v="2025-04-04T00:00:00"/>
    <x v="0"/>
    <n v="2879.92"/>
    <n v="2898.87"/>
    <n v="2862.8"/>
    <n v="2878.33"/>
    <n v="2878.86"/>
    <n v="308605"/>
    <n v="-5.9999999999999995E-4"/>
    <n v="1830.2819999999999"/>
    <n v="-1.59"/>
    <x v="1"/>
  </r>
  <r>
    <d v="2025-04-04T00:00:00"/>
    <x v="1"/>
    <n v="1239.52"/>
    <n v="1256.71"/>
    <n v="1220.31"/>
    <n v="1231.47"/>
    <n v="1233.4100000000001"/>
    <n v="266467"/>
    <n v="-6.4999999999999997E-3"/>
    <n v="1831.9860000000001"/>
    <n v="-8.0500000000000007"/>
    <x v="1"/>
  </r>
  <r>
    <d v="2025-04-04T00:00:00"/>
    <x v="2"/>
    <n v="1964.7"/>
    <n v="1980.11"/>
    <n v="1951.56"/>
    <n v="1972.61"/>
    <n v="1971.62"/>
    <n v="168344"/>
    <n v="4.0000000000000001E-3"/>
    <n v="1835.4839999999999"/>
    <n v="7.91"/>
    <x v="0"/>
  </r>
  <r>
    <d v="2025-04-04T00:00:00"/>
    <x v="3"/>
    <n v="685.86"/>
    <n v="700.69"/>
    <n v="672.6"/>
    <n v="688.32"/>
    <n v="686.67"/>
    <n v="498888"/>
    <n v="3.5999999999999999E-3"/>
    <n v="1830.0219999999999"/>
    <n v="2.46"/>
    <x v="0"/>
  </r>
  <r>
    <d v="2025-04-04T00:00:00"/>
    <x v="4"/>
    <n v="2378.06"/>
    <n v="2386.3000000000002"/>
    <n v="2363.1799999999998"/>
    <n v="2380.6799999999998"/>
    <n v="2380.2600000000002"/>
    <n v="465717"/>
    <n v="1.1000000000000001E-3"/>
    <n v="1823.508"/>
    <n v="2.62"/>
    <x v="0"/>
  </r>
  <r>
    <d v="2025-04-07T00:00:00"/>
    <x v="0"/>
    <n v="2890.57"/>
    <n v="2898.37"/>
    <n v="2872.18"/>
    <n v="2886.85"/>
    <n v="2887.01"/>
    <n v="436427"/>
    <n v="-1.2999999999999999E-3"/>
    <n v="1819.0119999999999"/>
    <n v="-3.72"/>
    <x v="1"/>
  </r>
  <r>
    <d v="2025-04-07T00:00:00"/>
    <x v="1"/>
    <n v="1247.3599999999999"/>
    <n v="1253.6099999999999"/>
    <n v="1230.7"/>
    <n v="1248.96"/>
    <n v="1249.19"/>
    <n v="276615"/>
    <n v="1.2999999999999999E-3"/>
    <n v="1817.212"/>
    <n v="1.6"/>
    <x v="0"/>
  </r>
  <r>
    <d v="2025-04-07T00:00:00"/>
    <x v="2"/>
    <n v="1945.42"/>
    <n v="1964.05"/>
    <n v="1931.67"/>
    <n v="1945.3"/>
    <n v="1944.9"/>
    <n v="440559"/>
    <n v="-1E-4"/>
    <n v="1819.204"/>
    <n v="-0.12"/>
    <x v="1"/>
  </r>
  <r>
    <d v="2025-04-07T00:00:00"/>
    <x v="3"/>
    <n v="665.51"/>
    <n v="674.41"/>
    <n v="649.66"/>
    <n v="655.75"/>
    <n v="655.73"/>
    <n v="251407"/>
    <n v="-1.47E-2"/>
    <n v="1821.9480000000001"/>
    <n v="-9.76"/>
    <x v="1"/>
  </r>
  <r>
    <d v="2025-04-07T00:00:00"/>
    <x v="4"/>
    <n v="2359.2800000000002"/>
    <n v="2374.15"/>
    <n v="2339.29"/>
    <n v="2358.1999999999998"/>
    <n v="2356.39"/>
    <n v="199996"/>
    <n v="-5.0000000000000001E-4"/>
    <n v="1827.12"/>
    <n v="-1.08"/>
    <x v="1"/>
  </r>
  <r>
    <d v="2025-04-08T00:00:00"/>
    <x v="0"/>
    <n v="2880.98"/>
    <n v="2889.4"/>
    <n v="2869.57"/>
    <n v="2877.85"/>
    <n v="2879.12"/>
    <n v="180215"/>
    <n v="-1.1000000000000001E-3"/>
    <n v="1829.212"/>
    <n v="-3.13"/>
    <x v="1"/>
  </r>
  <r>
    <d v="2025-04-08T00:00:00"/>
    <x v="1"/>
    <n v="1262.58"/>
    <n v="1269.25"/>
    <n v="1250.19"/>
    <n v="1258.92"/>
    <n v="1256.97"/>
    <n v="407359"/>
    <n v="-2.8999999999999998E-3"/>
    <n v="1826.43"/>
    <n v="-3.66"/>
    <x v="1"/>
  </r>
  <r>
    <d v="2025-04-08T00:00:00"/>
    <x v="2"/>
    <n v="1962.54"/>
    <n v="1969.84"/>
    <n v="1948.75"/>
    <n v="1959.02"/>
    <n v="1959.04"/>
    <n v="463926"/>
    <n v="-1.8E-3"/>
    <n v="1824.0360000000001"/>
    <n v="-3.52"/>
    <x v="1"/>
  </r>
  <r>
    <d v="2025-04-08T00:00:00"/>
    <x v="3"/>
    <n v="677.82"/>
    <n v="695.59"/>
    <n v="665.39"/>
    <n v="681.61"/>
    <n v="681.53"/>
    <n v="373364"/>
    <n v="5.5999999999999999E-3"/>
    <n v="1822.982"/>
    <n v="3.79"/>
    <x v="0"/>
  </r>
  <r>
    <d v="2025-04-08T00:00:00"/>
    <x v="4"/>
    <n v="2366.36"/>
    <n v="2384.42"/>
    <n v="2349.62"/>
    <n v="2368.66"/>
    <n v="2368.9299999999998"/>
    <n v="299384"/>
    <n v="1E-3"/>
    <n v="1825.52"/>
    <n v="2.2999999999999998"/>
    <x v="0"/>
  </r>
  <r>
    <d v="2025-04-09T00:00:00"/>
    <x v="0"/>
    <n v="2861.45"/>
    <n v="2869.78"/>
    <n v="2854.65"/>
    <n v="2863.94"/>
    <n v="2863.29"/>
    <n v="312532"/>
    <n v="8.9999999999999998E-4"/>
    <n v="1826.7860000000001"/>
    <n v="2.4900000000000002"/>
    <x v="0"/>
  </r>
  <r>
    <d v="2025-04-09T00:00:00"/>
    <x v="1"/>
    <n v="1247.18"/>
    <n v="1253.96"/>
    <n v="1240.42"/>
    <n v="1246.95"/>
    <n v="1247.55"/>
    <n v="452631"/>
    <n v="-2.0000000000000001E-4"/>
    <n v="1831.404"/>
    <n v="-0.23"/>
    <x v="1"/>
  </r>
  <r>
    <d v="2025-04-09T00:00:00"/>
    <x v="2"/>
    <n v="1953.97"/>
    <n v="1972.05"/>
    <n v="1934.99"/>
    <n v="1953.75"/>
    <n v="1954.01"/>
    <n v="342446"/>
    <n v="-1E-4"/>
    <n v="1836.2660000000001"/>
    <n v="-0.22"/>
    <x v="1"/>
  </r>
  <r>
    <d v="2025-04-09T00:00:00"/>
    <x v="3"/>
    <n v="695.06"/>
    <n v="705.28"/>
    <n v="679.89"/>
    <n v="694.3"/>
    <n v="694.56"/>
    <n v="123379"/>
    <n v="-1.1000000000000001E-3"/>
    <n v="1838.7339999999999"/>
    <n v="-0.76"/>
    <x v="1"/>
  </r>
  <r>
    <d v="2025-04-09T00:00:00"/>
    <x v="4"/>
    <n v="2372.64"/>
    <n v="2383.6999999999998"/>
    <n v="2362.73"/>
    <n v="2374.9899999999998"/>
    <n v="2375.66"/>
    <n v="323905"/>
    <n v="1E-3"/>
    <n v="1837.49"/>
    <n v="2.35"/>
    <x v="0"/>
  </r>
  <r>
    <d v="2025-04-10T00:00:00"/>
    <x v="0"/>
    <n v="2886.39"/>
    <n v="2899.17"/>
    <n v="2870.84"/>
    <n v="2887.03"/>
    <n v="2886.48"/>
    <n v="335254"/>
    <n v="2.0000000000000001E-4"/>
    <n v="1838.3320000000001"/>
    <n v="0.64"/>
    <x v="0"/>
  </r>
  <r>
    <d v="2025-04-10T00:00:00"/>
    <x v="1"/>
    <n v="1259.19"/>
    <n v="1278.6199999999999"/>
    <n v="1248.57"/>
    <n v="1271.26"/>
    <n v="1270.4000000000001"/>
    <n v="342333"/>
    <n v="9.5999999999999992E-3"/>
    <n v="1836.838"/>
    <n v="12.07"/>
    <x v="0"/>
  </r>
  <r>
    <d v="2025-04-10T00:00:00"/>
    <x v="2"/>
    <n v="1960.81"/>
    <n v="1976.42"/>
    <n v="1953.52"/>
    <n v="1966.09"/>
    <n v="1966.4"/>
    <n v="431887"/>
    <n v="2.7000000000000001E-3"/>
    <n v="1834.5840000000001"/>
    <n v="5.28"/>
    <x v="0"/>
  </r>
  <r>
    <d v="2025-04-10T00:00:00"/>
    <x v="3"/>
    <n v="688.84"/>
    <n v="705.8"/>
    <n v="673.96"/>
    <n v="688.08"/>
    <n v="689.48"/>
    <n v="261274"/>
    <n v="-1.1000000000000001E-3"/>
    <n v="1831.4739999999999"/>
    <n v="-0.76"/>
    <x v="1"/>
  </r>
  <r>
    <d v="2025-04-10T00:00:00"/>
    <x v="4"/>
    <n v="2372.9699999999998"/>
    <n v="2389.94"/>
    <n v="2361.44"/>
    <n v="2379.1999999999998"/>
    <n v="2380.4699999999998"/>
    <n v="179406"/>
    <n v="2.5999999999999999E-3"/>
    <n v="1832.1959999999999"/>
    <n v="6.23"/>
    <x v="0"/>
  </r>
  <r>
    <d v="2025-04-11T00:00:00"/>
    <x v="0"/>
    <n v="2887.81"/>
    <n v="2897.32"/>
    <n v="2878.54"/>
    <n v="2879.56"/>
    <n v="2877.71"/>
    <n v="124956"/>
    <n v="-2.8999999999999998E-3"/>
    <n v="1828.49"/>
    <n v="-8.25"/>
    <x v="1"/>
  </r>
  <r>
    <d v="2025-04-11T00:00:00"/>
    <x v="1"/>
    <n v="1250.57"/>
    <n v="1270.02"/>
    <n v="1245.3900000000001"/>
    <n v="1259.99"/>
    <n v="1261.8699999999999"/>
    <n v="467989"/>
    <n v="7.4999999999999997E-3"/>
    <n v="1832.42"/>
    <n v="9.42"/>
    <x v="0"/>
  </r>
  <r>
    <d v="2025-04-11T00:00:00"/>
    <x v="2"/>
    <n v="1942.59"/>
    <n v="1958.64"/>
    <n v="1923.57"/>
    <n v="1950.54"/>
    <n v="1952.24"/>
    <n v="482161"/>
    <n v="4.1000000000000003E-3"/>
    <n v="1830.962"/>
    <n v="7.95"/>
    <x v="0"/>
  </r>
  <r>
    <d v="2025-04-11T00:00:00"/>
    <x v="3"/>
    <n v="687.06"/>
    <n v="704.62"/>
    <n v="671.6"/>
    <n v="691.69"/>
    <n v="692.41"/>
    <n v="238356"/>
    <n v="6.7000000000000002E-3"/>
    <n v="1830.1679999999999"/>
    <n v="4.63"/>
    <x v="0"/>
  </r>
  <r>
    <d v="2025-04-11T00:00:00"/>
    <x v="4"/>
    <n v="2368.1999999999998"/>
    <n v="2373.29"/>
    <n v="2358.33"/>
    <n v="2360.67"/>
    <n v="2360.14"/>
    <n v="475866"/>
    <n v="-3.2000000000000002E-3"/>
    <n v="1830.76"/>
    <n v="-7.53"/>
    <x v="1"/>
  </r>
  <r>
    <d v="2025-04-14T00:00:00"/>
    <x v="0"/>
    <n v="2888.6"/>
    <n v="2894.37"/>
    <n v="2879.42"/>
    <n v="2899.21"/>
    <n v="2900.84"/>
    <n v="292994"/>
    <n v="3.7000000000000002E-3"/>
    <n v="1834.28"/>
    <n v="10.61"/>
    <x v="0"/>
  </r>
  <r>
    <d v="2025-04-14T00:00:00"/>
    <x v="1"/>
    <n v="1256.24"/>
    <n v="1262.3499999999999"/>
    <n v="1242.93"/>
    <n v="1252.7"/>
    <n v="1254.58"/>
    <n v="346609"/>
    <n v="-2.8E-3"/>
    <n v="1829.722"/>
    <n v="-3.54"/>
    <x v="1"/>
  </r>
  <r>
    <d v="2025-04-14T00:00:00"/>
    <x v="2"/>
    <n v="1946.1"/>
    <n v="1965.87"/>
    <n v="1928.52"/>
    <n v="1946.57"/>
    <n v="1945.07"/>
    <n v="455549"/>
    <n v="2.0000000000000001E-4"/>
    <n v="1835.3019999999999"/>
    <n v="0.47"/>
    <x v="0"/>
  </r>
  <r>
    <d v="2025-04-14T00:00:00"/>
    <x v="3"/>
    <n v="696.82"/>
    <n v="704.2"/>
    <n v="678.61"/>
    <n v="694.65"/>
    <n v="696.14"/>
    <n v="220141"/>
    <n v="-3.0999999999999999E-3"/>
    <n v="1843.306"/>
    <n v="-2.17"/>
    <x v="1"/>
  </r>
  <r>
    <d v="2025-04-14T00:00:00"/>
    <x v="4"/>
    <n v="2382.9499999999998"/>
    <n v="2393.7800000000002"/>
    <n v="2371.2199999999998"/>
    <n v="2378.27"/>
    <n v="2377.2199999999998"/>
    <n v="116832"/>
    <n v="-2E-3"/>
    <n v="1840.2760000000001"/>
    <n v="-4.68"/>
    <x v="1"/>
  </r>
  <r>
    <d v="2025-04-15T00:00:00"/>
    <x v="0"/>
    <n v="2882.25"/>
    <n v="2894.59"/>
    <n v="2862.47"/>
    <n v="2876.42"/>
    <n v="2875.39"/>
    <n v="469445"/>
    <n v="-2E-3"/>
    <n v="1834.04"/>
    <n v="-5.83"/>
    <x v="1"/>
  </r>
  <r>
    <d v="2025-04-15T00:00:00"/>
    <x v="1"/>
    <n v="1276.76"/>
    <n v="1292.2"/>
    <n v="1264.94"/>
    <n v="1280.5999999999999"/>
    <n v="1281.1099999999999"/>
    <n v="478246"/>
    <n v="3.0000000000000001E-3"/>
    <n v="1838.6579999999999"/>
    <n v="3.84"/>
    <x v="0"/>
  </r>
  <r>
    <d v="2025-04-15T00:00:00"/>
    <x v="2"/>
    <n v="1981.39"/>
    <n v="1992.38"/>
    <n v="1975.57"/>
    <n v="1986.59"/>
    <n v="1985.93"/>
    <n v="316764"/>
    <n v="2.5999999999999999E-3"/>
    <n v="1834.912"/>
    <n v="5.2"/>
    <x v="0"/>
  </r>
  <r>
    <d v="2025-04-15T00:00:00"/>
    <x v="3"/>
    <n v="679.3"/>
    <n v="695.45"/>
    <n v="671.89"/>
    <n v="679.5"/>
    <n v="680.77"/>
    <n v="331160"/>
    <n v="2.9999999999999997E-4"/>
    <n v="1824.5419999999999"/>
    <n v="0.2"/>
    <x v="0"/>
  </r>
  <r>
    <d v="2025-04-15T00:00:00"/>
    <x v="4"/>
    <n v="2354.0700000000002"/>
    <n v="2360.17"/>
    <n v="2340.02"/>
    <n v="2347.09"/>
    <n v="2347.7600000000002"/>
    <n v="331121"/>
    <n v="-3.0000000000000001E-3"/>
    <n v="1826.1579999999999"/>
    <n v="-6.98"/>
    <x v="1"/>
  </r>
  <r>
    <d v="2025-04-16T00:00:00"/>
    <x v="0"/>
    <n v="2899.43"/>
    <n v="2907.99"/>
    <n v="2883.51"/>
    <n v="2899.51"/>
    <n v="2898.98"/>
    <n v="332170"/>
    <n v="0"/>
    <n v="1830.2919999999999"/>
    <n v="0.08"/>
    <x v="0"/>
  </r>
  <r>
    <d v="2025-04-16T00:00:00"/>
    <x v="1"/>
    <n v="1262.72"/>
    <n v="1268.4000000000001"/>
    <n v="1253.51"/>
    <n v="1261.8699999999999"/>
    <n v="1263.67"/>
    <n v="470110"/>
    <n v="-6.9999999999999999E-4"/>
    <n v="1832.8620000000001"/>
    <n v="-0.85"/>
    <x v="1"/>
  </r>
  <r>
    <d v="2025-04-16T00:00:00"/>
    <x v="2"/>
    <n v="1945.88"/>
    <n v="1958.94"/>
    <n v="1927.08"/>
    <n v="1934.74"/>
    <n v="1934.13"/>
    <n v="475984"/>
    <n v="-5.7000000000000002E-3"/>
    <n v="1832.556"/>
    <n v="-11.14"/>
    <x v="1"/>
  </r>
  <r>
    <d v="2025-04-16T00:00:00"/>
    <x v="3"/>
    <n v="683.29"/>
    <n v="688.39"/>
    <n v="673.98"/>
    <n v="687.58"/>
    <n v="688.05"/>
    <n v="210931"/>
    <n v="6.3E-3"/>
    <n v="1838.87"/>
    <n v="4.29"/>
    <x v="0"/>
  </r>
  <r>
    <d v="2025-04-16T00:00:00"/>
    <x v="4"/>
    <n v="2360.12"/>
    <n v="2370.8200000000002"/>
    <n v="2342.17"/>
    <n v="2367.7600000000002"/>
    <n v="2367.84"/>
    <n v="175933"/>
    <n v="3.2000000000000002E-3"/>
    <n v="1837.5319999999999"/>
    <n v="7.64"/>
    <x v="0"/>
  </r>
  <r>
    <d v="2025-04-17T00:00:00"/>
    <x v="0"/>
    <n v="2902.05"/>
    <n v="2915.09"/>
    <n v="2895.7"/>
    <n v="2912.36"/>
    <n v="2913.7"/>
    <n v="348322"/>
    <n v="3.5999999999999999E-3"/>
    <n v="1836.394"/>
    <n v="10.31"/>
    <x v="0"/>
  </r>
  <r>
    <d v="2025-04-17T00:00:00"/>
    <x v="1"/>
    <n v="1252.8900000000001"/>
    <n v="1267.19"/>
    <n v="1243.73"/>
    <n v="1260.3399999999999"/>
    <n v="1259.0899999999999"/>
    <n v="345956"/>
    <n v="5.8999999999999999E-3"/>
    <n v="1828.1479999999999"/>
    <n v="7.45"/>
    <x v="0"/>
  </r>
  <r>
    <d v="2025-04-17T00:00:00"/>
    <x v="2"/>
    <n v="1968.7"/>
    <n v="1980.48"/>
    <n v="1960.33"/>
    <n v="1966.31"/>
    <n v="1966.12"/>
    <n v="192930"/>
    <n v="-1.1999999999999999E-3"/>
    <n v="1822.864"/>
    <n v="-2.39"/>
    <x v="1"/>
  </r>
  <r>
    <d v="2025-04-17T00:00:00"/>
    <x v="3"/>
    <n v="683.25"/>
    <n v="692.15"/>
    <n v="668.74"/>
    <n v="680.89"/>
    <n v="681.05"/>
    <n v="138151"/>
    <n v="-3.5000000000000001E-3"/>
    <n v="1820.1579999999999"/>
    <n v="-2.36"/>
    <x v="1"/>
  </r>
  <r>
    <d v="2025-04-17T00:00:00"/>
    <x v="4"/>
    <n v="2362.46"/>
    <n v="2372.58"/>
    <n v="2351.7600000000002"/>
    <n v="2362.0700000000002"/>
    <n v="2361.67"/>
    <n v="299661"/>
    <n v="-2.0000000000000001E-4"/>
    <n v="1820.5139999999999"/>
    <n v="-0.39"/>
    <x v="1"/>
  </r>
  <r>
    <d v="2025-04-18T00:00:00"/>
    <x v="0"/>
    <n v="2878.09"/>
    <n v="2883.7"/>
    <n v="2864.23"/>
    <n v="2871.13"/>
    <n v="2871.84"/>
    <n v="482530"/>
    <n v="-2.3999999999999998E-3"/>
    <n v="1825.75"/>
    <n v="-6.96"/>
    <x v="1"/>
  </r>
  <r>
    <d v="2025-04-18T00:00:00"/>
    <x v="1"/>
    <n v="1232.76"/>
    <n v="1246.51"/>
    <n v="1226.5899999999999"/>
    <n v="1233.92"/>
    <n v="1235.82"/>
    <n v="161686"/>
    <n v="8.9999999999999998E-4"/>
    <n v="1828.1479999999999"/>
    <n v="1.1599999999999999"/>
    <x v="0"/>
  </r>
  <r>
    <d v="2025-04-18T00:00:00"/>
    <x v="2"/>
    <n v="1953.54"/>
    <n v="1966.02"/>
    <n v="1942.26"/>
    <n v="1952.78"/>
    <n v="1954.44"/>
    <n v="209822"/>
    <n v="-4.0000000000000002E-4"/>
    <n v="1828.894"/>
    <n v="-0.76"/>
    <x v="1"/>
  </r>
  <r>
    <d v="2025-04-18T00:00:00"/>
    <x v="3"/>
    <n v="679.92"/>
    <n v="696.34"/>
    <n v="666.8"/>
    <n v="682.67"/>
    <n v="684.52"/>
    <n v="320034"/>
    <n v="4.0000000000000001E-3"/>
    <n v="1830.7819999999999"/>
    <n v="2.75"/>
    <x v="0"/>
  </r>
  <r>
    <d v="2025-04-18T00:00:00"/>
    <x v="4"/>
    <n v="2377.23"/>
    <n v="2391.35"/>
    <n v="2360.7600000000002"/>
    <n v="2388.25"/>
    <n v="2389.5"/>
    <n v="142158"/>
    <n v="4.5999999999999999E-3"/>
    <n v="1833.068"/>
    <n v="11.02"/>
    <x v="0"/>
  </r>
  <r>
    <d v="2025-04-21T00:00:00"/>
    <x v="0"/>
    <n v="2888.09"/>
    <n v="2896.49"/>
    <n v="2873.41"/>
    <n v="2883.12"/>
    <n v="2881.82"/>
    <n v="304825"/>
    <n v="-1.6999999999999999E-3"/>
    <n v="1830.0060000000001"/>
    <n v="-4.97"/>
    <x v="1"/>
  </r>
  <r>
    <d v="2025-04-21T00:00:00"/>
    <x v="1"/>
    <n v="1234.8699999999999"/>
    <n v="1252.08"/>
    <n v="1219.5999999999999"/>
    <n v="1237.6500000000001"/>
    <n v="1236.3"/>
    <n v="495375"/>
    <n v="2.3E-3"/>
    <n v="1831.8920000000001"/>
    <n v="2.78"/>
    <x v="0"/>
  </r>
  <r>
    <d v="2025-04-21T00:00:00"/>
    <x v="2"/>
    <n v="1966.8"/>
    <n v="1981.28"/>
    <n v="1961.6"/>
    <n v="1962.22"/>
    <n v="1962.87"/>
    <n v="306440"/>
    <n v="-2.3E-3"/>
    <n v="1834.454"/>
    <n v="-4.58"/>
    <x v="1"/>
  </r>
  <r>
    <d v="2025-04-21T00:00:00"/>
    <x v="3"/>
    <n v="695.09"/>
    <n v="714.07"/>
    <n v="688.55"/>
    <n v="694.1"/>
    <n v="695.85"/>
    <n v="463704"/>
    <n v="-1.4E-3"/>
    <n v="1830.1980000000001"/>
    <n v="-0.99"/>
    <x v="1"/>
  </r>
  <r>
    <d v="2025-04-21T00:00:00"/>
    <x v="4"/>
    <n v="2364.4699999999998"/>
    <n v="2383.38"/>
    <n v="2358.5700000000002"/>
    <n v="2372.94"/>
    <n v="2374.6799999999998"/>
    <n v="144913"/>
    <n v="3.5999999999999999E-3"/>
    <n v="1826.67"/>
    <n v="8.4700000000000006"/>
    <x v="0"/>
  </r>
  <r>
    <d v="2025-04-22T00:00:00"/>
    <x v="0"/>
    <n v="2878.81"/>
    <n v="2897.86"/>
    <n v="2871.75"/>
    <n v="2892.55"/>
    <n v="2891.91"/>
    <n v="320916"/>
    <n v="4.7999999999999996E-3"/>
    <n v="1824.038"/>
    <n v="13.74"/>
    <x v="0"/>
  </r>
  <r>
    <d v="2025-04-22T00:00:00"/>
    <x v="1"/>
    <n v="1240.8"/>
    <n v="1259.79"/>
    <n v="1222.81"/>
    <n v="1250.46"/>
    <n v="1248.6400000000001"/>
    <n v="233458"/>
    <n v="7.7999999999999996E-3"/>
    <n v="1822.7339999999999"/>
    <n v="9.66"/>
    <x v="0"/>
  </r>
  <r>
    <d v="2025-04-22T00:00:00"/>
    <x v="2"/>
    <n v="1953.31"/>
    <n v="1959.59"/>
    <n v="1933.36"/>
    <n v="1940.94"/>
    <n v="1940.95"/>
    <n v="380405"/>
    <n v="-6.3E-3"/>
    <n v="1822.7460000000001"/>
    <n v="-12.37"/>
    <x v="1"/>
  </r>
  <r>
    <d v="2025-04-22T00:00:00"/>
    <x v="3"/>
    <n v="678.54"/>
    <n v="688.05"/>
    <n v="662.92"/>
    <n v="676.46"/>
    <n v="674.73"/>
    <n v="403488"/>
    <n v="-3.0999999999999999E-3"/>
    <n v="1825.3620000000001"/>
    <n v="-2.08"/>
    <x v="1"/>
  </r>
  <r>
    <d v="2025-04-22T00:00:00"/>
    <x v="4"/>
    <n v="2359.46"/>
    <n v="2371.75"/>
    <n v="2350.61"/>
    <n v="2359.7800000000002"/>
    <n v="2358.92"/>
    <n v="363760"/>
    <n v="1E-4"/>
    <n v="1824.8779999999999"/>
    <n v="0.32"/>
    <x v="0"/>
  </r>
  <r>
    <d v="2025-04-23T00:00:00"/>
    <x v="0"/>
    <n v="2884.43"/>
    <n v="2899.33"/>
    <n v="2867.17"/>
    <n v="2886.03"/>
    <n v="2886.25"/>
    <n v="425377"/>
    <n v="5.9999999999999995E-4"/>
    <n v="1827.9880000000001"/>
    <n v="1.6"/>
    <x v="0"/>
  </r>
  <r>
    <d v="2025-04-23T00:00:00"/>
    <x v="1"/>
    <n v="1253.26"/>
    <n v="1270.42"/>
    <n v="1233.45"/>
    <n v="1250.52"/>
    <n v="1249.1199999999999"/>
    <n v="184015"/>
    <n v="-2.2000000000000001E-3"/>
    <n v="1824.146"/>
    <n v="-2.74"/>
    <x v="1"/>
  </r>
  <r>
    <d v="2025-04-23T00:00:00"/>
    <x v="2"/>
    <n v="1949.22"/>
    <n v="1965.47"/>
    <n v="1941.07"/>
    <n v="1954.02"/>
    <n v="1955.61"/>
    <n v="471346"/>
    <n v="2.5000000000000001E-3"/>
    <n v="1822.962"/>
    <n v="4.8"/>
    <x v="0"/>
  </r>
  <r>
    <d v="2025-04-23T00:00:00"/>
    <x v="3"/>
    <n v="664.9"/>
    <n v="679.21"/>
    <n v="659.21"/>
    <n v="674.04"/>
    <n v="675.53"/>
    <n v="179832"/>
    <n v="1.37E-2"/>
    <n v="1821.01"/>
    <n v="9.14"/>
    <x v="0"/>
  </r>
  <r>
    <d v="2025-04-23T00:00:00"/>
    <x v="4"/>
    <n v="2376.71"/>
    <n v="2389.8000000000002"/>
    <n v="2367.04"/>
    <n v="2375.33"/>
    <n v="2375.77"/>
    <n v="171855"/>
    <n v="-5.9999999999999995E-4"/>
    <n v="1823.162"/>
    <n v="-1.38"/>
    <x v="1"/>
  </r>
  <r>
    <d v="2025-04-24T00:00:00"/>
    <x v="0"/>
    <n v="2871.93"/>
    <n v="2878.33"/>
    <n v="2853.47"/>
    <n v="2866.82"/>
    <n v="2868.42"/>
    <n v="260348"/>
    <n v="-1.8E-3"/>
    <n v="1820.894"/>
    <n v="-5.1100000000000003"/>
    <x v="1"/>
  </r>
  <r>
    <d v="2025-04-24T00:00:00"/>
    <x v="1"/>
    <n v="1236.8699999999999"/>
    <n v="1256.42"/>
    <n v="1219.24"/>
    <n v="1244.5999999999999"/>
    <n v="1245.95"/>
    <n v="117149"/>
    <n v="6.1999999999999998E-3"/>
    <n v="1822.876"/>
    <n v="7.73"/>
    <x v="0"/>
  </r>
  <r>
    <d v="2025-04-24T00:00:00"/>
    <x v="2"/>
    <n v="1950.26"/>
    <n v="1955.81"/>
    <n v="1938.18"/>
    <n v="1944.26"/>
    <n v="1944.52"/>
    <n v="267852"/>
    <n v="-3.0999999999999999E-3"/>
    <n v="1819.2760000000001"/>
    <n v="-6"/>
    <x v="1"/>
  </r>
  <r>
    <d v="2025-04-24T00:00:00"/>
    <x v="3"/>
    <n v="677.41"/>
    <n v="693.78"/>
    <n v="672.04"/>
    <n v="684.8"/>
    <n v="682.89"/>
    <n v="466163"/>
    <n v="1.09E-2"/>
    <n v="1821.8019999999999"/>
    <n v="7.39"/>
    <x v="0"/>
  </r>
  <r>
    <d v="2025-04-24T00:00:00"/>
    <x v="4"/>
    <n v="2357.1"/>
    <n v="2368.3000000000002"/>
    <n v="2350.27"/>
    <n v="2363.9899999999998"/>
    <n v="2362.71"/>
    <n v="239573"/>
    <n v="2.8999999999999998E-3"/>
    <n v="1819.2760000000001"/>
    <n v="6.89"/>
    <x v="0"/>
  </r>
  <r>
    <d v="2025-04-25T00:00:00"/>
    <x v="0"/>
    <n v="2873.6"/>
    <n v="2883.84"/>
    <n v="2857.71"/>
    <n v="2876.73"/>
    <n v="2878.32"/>
    <n v="207164"/>
    <n v="1.1000000000000001E-3"/>
    <n v="1818.2159999999999"/>
    <n v="3.13"/>
    <x v="0"/>
  </r>
  <r>
    <d v="2025-04-25T00:00:00"/>
    <x v="1"/>
    <n v="1229.48"/>
    <n v="1238.58"/>
    <n v="1223.6300000000001"/>
    <n v="1226.5999999999999"/>
    <n v="1228.06"/>
    <n v="298813"/>
    <n v="-2.3E-3"/>
    <n v="1822.154"/>
    <n v="-2.88"/>
    <x v="1"/>
  </r>
  <r>
    <d v="2025-04-25T00:00:00"/>
    <x v="2"/>
    <n v="1969.89"/>
    <n v="1981.5"/>
    <n v="1958.88"/>
    <n v="1956.89"/>
    <n v="1957.13"/>
    <n v="270193"/>
    <n v="-6.6E-3"/>
    <n v="1827.4259999999999"/>
    <n v="-13"/>
    <x v="1"/>
  </r>
  <r>
    <d v="2025-04-25T00:00:00"/>
    <x v="3"/>
    <n v="681.69"/>
    <n v="698.25"/>
    <n v="666.44"/>
    <n v="672.17"/>
    <n v="671.95"/>
    <n v="497259"/>
    <n v="-1.4E-2"/>
    <n v="1826.0640000000001"/>
    <n v="-9.52"/>
    <x v="1"/>
  </r>
  <r>
    <d v="2025-04-25T00:00:00"/>
    <x v="4"/>
    <n v="2357.31"/>
    <n v="2370.19"/>
    <n v="2341.67"/>
    <n v="2358.69"/>
    <n v="2357.12"/>
    <n v="323007"/>
    <n v="5.9999999999999995E-4"/>
    <n v="1822.1880000000001"/>
    <n v="1.38"/>
    <x v="0"/>
  </r>
  <r>
    <d v="2025-04-28T00:00:00"/>
    <x v="0"/>
    <n v="2890.5"/>
    <n v="2905.13"/>
    <n v="2884.24"/>
    <n v="2896.42"/>
    <n v="2895.07"/>
    <n v="262889"/>
    <n v="2E-3"/>
    <n v="1821.8240000000001"/>
    <n v="5.92"/>
    <x v="0"/>
  </r>
  <r>
    <d v="2025-04-28T00:00:00"/>
    <x v="1"/>
    <n v="1254.05"/>
    <n v="1270.58"/>
    <n v="1234.8800000000001"/>
    <n v="1252.96"/>
    <n v="1254.3599999999999"/>
    <n v="230877"/>
    <n v="-8.9999999999999998E-4"/>
    <n v="1821.3019999999999"/>
    <n v="-1.0900000000000001"/>
    <x v="1"/>
  </r>
  <r>
    <d v="2025-04-28T00:00:00"/>
    <x v="2"/>
    <n v="1952.57"/>
    <n v="1970.5"/>
    <n v="1933.38"/>
    <n v="1950.08"/>
    <n v="1949.57"/>
    <n v="207525"/>
    <n v="-1.2999999999999999E-3"/>
    <n v="1818.048"/>
    <n v="-2.4900000000000002"/>
    <x v="1"/>
  </r>
  <r>
    <d v="2025-04-28T00:00:00"/>
    <x v="3"/>
    <n v="668.52"/>
    <n v="675.97"/>
    <n v="651.6"/>
    <n v="652.79"/>
    <n v="653.55999999999995"/>
    <n v="106422"/>
    <n v="-2.35E-2"/>
    <n v="1820.146"/>
    <n v="-15.73"/>
    <x v="1"/>
  </r>
  <r>
    <d v="2025-04-28T00:00:00"/>
    <x v="4"/>
    <n v="2351.0700000000002"/>
    <n v="2370.5100000000002"/>
    <n v="2338.8200000000002"/>
    <n v="2356.87"/>
    <n v="2358.09"/>
    <n v="410486"/>
    <n v="2.5000000000000001E-3"/>
    <n v="1828.7260000000001"/>
    <n v="5.8"/>
    <x v="0"/>
  </r>
  <r>
    <d v="2025-04-29T00:00:00"/>
    <x v="0"/>
    <n v="2890.26"/>
    <n v="2895.4"/>
    <n v="2883.74"/>
    <n v="2893.81"/>
    <n v="2894.46"/>
    <n v="123914"/>
    <n v="1.1999999999999999E-3"/>
    <n v="1829.18"/>
    <n v="3.55"/>
    <x v="0"/>
  </r>
  <r>
    <d v="2025-04-29T00:00:00"/>
    <x v="1"/>
    <n v="1250.8699999999999"/>
    <n v="1257.81"/>
    <n v="1231.56"/>
    <n v="1236.69"/>
    <n v="1237.1099999999999"/>
    <n v="352769"/>
    <n v="-1.1299999999999999E-2"/>
    <n v="1832.866"/>
    <n v="-14.18"/>
    <x v="1"/>
  </r>
  <r>
    <d v="2025-04-29T00:00:00"/>
    <x v="2"/>
    <n v="1964.33"/>
    <n v="1975.46"/>
    <n v="1958.95"/>
    <n v="1960.57"/>
    <n v="1959.19"/>
    <n v="295757"/>
    <n v="-1.9E-3"/>
    <n v="1837.018"/>
    <n v="-3.76"/>
    <x v="1"/>
  </r>
  <r>
    <d v="2025-04-29T00:00:00"/>
    <x v="3"/>
    <n v="694.22"/>
    <n v="703.32"/>
    <n v="674.96"/>
    <n v="695.69"/>
    <n v="694.29"/>
    <n v="184832"/>
    <n v="2.0999999999999999E-3"/>
    <n v="1838.9559999999999"/>
    <n v="1.47"/>
    <x v="0"/>
  </r>
  <r>
    <d v="2025-04-29T00:00:00"/>
    <x v="4"/>
    <n v="2361.21"/>
    <n v="2375.71"/>
    <n v="2341.94"/>
    <n v="2359.14"/>
    <n v="2359.5500000000002"/>
    <n v="269785"/>
    <n v="-8.9999999999999998E-4"/>
    <n v="1837.29"/>
    <n v="-2.0699999999999998"/>
    <x v="1"/>
  </r>
  <r>
    <d v="2025-04-30T00:00:00"/>
    <x v="0"/>
    <n v="2906.66"/>
    <n v="2921.44"/>
    <n v="2898.3"/>
    <n v="2912.24"/>
    <n v="2913.09"/>
    <n v="232532"/>
    <n v="1.9E-3"/>
    <n v="1839.0239999999999"/>
    <n v="5.58"/>
    <x v="0"/>
  </r>
  <r>
    <d v="2025-04-30T00:00:00"/>
    <x v="1"/>
    <n v="1261.1199999999999"/>
    <n v="1275.3900000000001"/>
    <n v="1250.75"/>
    <n v="1257.45"/>
    <n v="1255.9000000000001"/>
    <n v="190066"/>
    <n v="-2.8999999999999998E-3"/>
    <n v="1831.69"/>
    <n v="-3.67"/>
    <x v="1"/>
  </r>
  <r>
    <d v="2025-04-30T00:00:00"/>
    <x v="2"/>
    <n v="1965.36"/>
    <n v="1970.77"/>
    <n v="1957.03"/>
    <n v="1970.26"/>
    <n v="1969.18"/>
    <n v="203967"/>
    <n v="2.5000000000000001E-3"/>
    <n v="1833.91"/>
    <n v="4.9000000000000004"/>
    <x v="0"/>
  </r>
  <r>
    <d v="2025-04-30T00:00:00"/>
    <x v="3"/>
    <n v="689.5"/>
    <n v="700.8"/>
    <n v="674.92"/>
    <n v="687.36"/>
    <n v="686.95"/>
    <n v="229327"/>
    <n v="-3.0999999999999999E-3"/>
    <n v="1830.414"/>
    <n v="-2.14"/>
    <x v="1"/>
  </r>
  <r>
    <d v="2025-04-30T00:00:00"/>
    <x v="4"/>
    <n v="2367.4899999999998"/>
    <n v="2375.91"/>
    <n v="2359.31"/>
    <n v="2367.81"/>
    <n v="2368.25"/>
    <n v="232661"/>
    <n v="1E-4"/>
    <n v="1831.1559999999999"/>
    <n v="0.32"/>
    <x v="0"/>
  </r>
  <r>
    <d v="2025-05-01T00:00:00"/>
    <x v="0"/>
    <n v="2880.49"/>
    <n v="2896.69"/>
    <n v="2865.75"/>
    <n v="2875.57"/>
    <n v="2876.97"/>
    <n v="248274"/>
    <n v="-1.6999999999999999E-3"/>
    <n v="1833.8119999999999"/>
    <n v="-4.92"/>
    <x v="1"/>
  </r>
  <r>
    <d v="2025-05-01T00:00:00"/>
    <x v="1"/>
    <n v="1256.42"/>
    <n v="1273"/>
    <n v="1243.6199999999999"/>
    <n v="1268.55"/>
    <n v="1269.96"/>
    <n v="250975"/>
    <n v="9.7000000000000003E-3"/>
    <n v="1839.4280000000001"/>
    <n v="12.13"/>
    <x v="0"/>
  </r>
  <r>
    <d v="2025-05-01T00:00:00"/>
    <x v="2"/>
    <n v="1956.99"/>
    <n v="1964.67"/>
    <n v="1942.2"/>
    <n v="1952.78"/>
    <n v="1951.73"/>
    <n v="491185"/>
    <n v="-2.2000000000000001E-3"/>
    <n v="1843.106"/>
    <n v="-4.21"/>
    <x v="1"/>
  </r>
  <r>
    <d v="2025-05-01T00:00:00"/>
    <x v="3"/>
    <n v="691.98"/>
    <n v="700.43"/>
    <n v="683.78"/>
    <n v="691.07"/>
    <n v="689.19"/>
    <n v="431464"/>
    <n v="-1.2999999999999999E-3"/>
    <n v="1842.694"/>
    <n v="-0.91"/>
    <x v="1"/>
  </r>
  <r>
    <d v="2025-05-01T00:00:00"/>
    <x v="4"/>
    <n v="2378.4899999999998"/>
    <n v="2396.9899999999998"/>
    <n v="2368.19"/>
    <n v="2381.09"/>
    <n v="2380.04"/>
    <n v="264903"/>
    <n v="1.1000000000000001E-3"/>
    <n v="1840.606"/>
    <n v="2.6"/>
    <x v="0"/>
  </r>
  <r>
    <d v="2025-05-02T00:00:00"/>
    <x v="0"/>
    <n v="2896.22"/>
    <n v="2902.63"/>
    <n v="2885.7"/>
    <n v="2903.65"/>
    <n v="2902.71"/>
    <n v="419864"/>
    <n v="2.5999999999999999E-3"/>
    <n v="1837.8440000000001"/>
    <n v="7.43"/>
    <x v="0"/>
  </r>
  <r>
    <d v="2025-05-02T00:00:00"/>
    <x v="1"/>
    <n v="1274.6099999999999"/>
    <n v="1292.76"/>
    <n v="1263.56"/>
    <n v="1286.94"/>
    <n v="1285.48"/>
    <n v="284338"/>
    <n v="9.7000000000000003E-3"/>
    <n v="1835.9880000000001"/>
    <n v="12.33"/>
    <x v="0"/>
  </r>
  <r>
    <d v="2025-05-02T00:00:00"/>
    <x v="2"/>
    <n v="1953.6"/>
    <n v="1969.43"/>
    <n v="1935.76"/>
    <n v="1950.72"/>
    <n v="1952.04"/>
    <n v="114141"/>
    <n v="-1.5E-3"/>
    <n v="1833.37"/>
    <n v="-2.88"/>
    <x v="1"/>
  </r>
  <r>
    <d v="2025-05-02T00:00:00"/>
    <x v="3"/>
    <n v="670.48"/>
    <n v="688.45"/>
    <n v="658.38"/>
    <n v="680.63"/>
    <n v="682.5"/>
    <n v="260994"/>
    <n v="1.5100000000000001E-2"/>
    <n v="1836.578"/>
    <n v="10.15"/>
    <x v="0"/>
  </r>
  <r>
    <d v="2025-05-02T00:00:00"/>
    <x v="4"/>
    <n v="2359.8200000000002"/>
    <n v="2377.16"/>
    <n v="2348.46"/>
    <n v="2367.2800000000002"/>
    <n v="2367.9499999999998"/>
    <n v="201657"/>
    <n v="3.2000000000000002E-3"/>
    <n v="1837.37"/>
    <n v="7.46"/>
    <x v="0"/>
  </r>
  <r>
    <d v="2025-05-05T00:00:00"/>
    <x v="0"/>
    <n v="2896.79"/>
    <n v="2911.26"/>
    <n v="2879.87"/>
    <n v="2894.37"/>
    <n v="2894.38"/>
    <n v="349970"/>
    <n v="-8.0000000000000004E-4"/>
    <n v="1836.808"/>
    <n v="-2.42"/>
    <x v="1"/>
  </r>
  <r>
    <d v="2025-05-05T00:00:00"/>
    <x v="1"/>
    <n v="1268.8900000000001"/>
    <n v="1277.08"/>
    <n v="1261.8399999999999"/>
    <n v="1273.8499999999999"/>
    <n v="1271.9100000000001"/>
    <n v="198095"/>
    <n v="3.8999999999999998E-3"/>
    <n v="1836.934"/>
    <n v="4.96"/>
    <x v="0"/>
  </r>
  <r>
    <d v="2025-05-05T00:00:00"/>
    <x v="2"/>
    <n v="1972.46"/>
    <n v="1980.53"/>
    <n v="1963.06"/>
    <n v="1966.76"/>
    <n v="1968.35"/>
    <n v="378823"/>
    <n v="-2.8999999999999998E-3"/>
    <n v="1833.2539999999999"/>
    <n v="-5.7"/>
    <x v="1"/>
  </r>
  <r>
    <d v="2025-05-05T00:00:00"/>
    <x v="3"/>
    <n v="685.7"/>
    <n v="702.35"/>
    <n v="669.14"/>
    <n v="684.59"/>
    <n v="685.97"/>
    <n v="358202"/>
    <n v="-1.6000000000000001E-3"/>
    <n v="1829.796"/>
    <n v="-1.1100000000000001"/>
    <x v="1"/>
  </r>
  <r>
    <d v="2025-05-05T00:00:00"/>
    <x v="4"/>
    <n v="2369.39"/>
    <n v="2381.17"/>
    <n v="2355.59"/>
    <n v="2364.4699999999998"/>
    <n v="2363.14"/>
    <n v="278016"/>
    <n v="-2.0999999999999999E-3"/>
    <n v="1832.242"/>
    <n v="-4.92"/>
    <x v="1"/>
  </r>
  <r>
    <d v="2025-05-06T00:00:00"/>
    <x v="0"/>
    <n v="2885.35"/>
    <n v="2893.28"/>
    <n v="2869.51"/>
    <n v="2895"/>
    <n v="2894.12"/>
    <n v="163464"/>
    <n v="3.3E-3"/>
    <n v="1834.61"/>
    <n v="9.65"/>
    <x v="0"/>
  </r>
  <r>
    <d v="2025-05-06T00:00:00"/>
    <x v="1"/>
    <n v="1264.58"/>
    <n v="1275.46"/>
    <n v="1253.02"/>
    <n v="1255.45"/>
    <n v="1257.07"/>
    <n v="395877"/>
    <n v="-7.1999999999999998E-3"/>
    <n v="1832.0119999999999"/>
    <n v="-9.1300000000000008"/>
    <x v="1"/>
  </r>
  <r>
    <d v="2025-05-06T00:00:00"/>
    <x v="2"/>
    <n v="1959.26"/>
    <n v="1970.58"/>
    <n v="1940.87"/>
    <n v="1949.47"/>
    <n v="1950.74"/>
    <n v="292201"/>
    <n v="-5.0000000000000001E-3"/>
    <n v="1830.5319999999999"/>
    <n v="-9.7899999999999991"/>
    <x v="1"/>
  </r>
  <r>
    <d v="2025-05-06T00:00:00"/>
    <x v="3"/>
    <n v="689.43"/>
    <n v="696.4"/>
    <n v="683.94"/>
    <n v="696.82"/>
    <n v="698.5"/>
    <n v="392160"/>
    <n v="1.0699999999999999E-2"/>
    <n v="1828.222"/>
    <n v="7.39"/>
    <x v="0"/>
  </r>
  <r>
    <d v="2025-05-06T00:00:00"/>
    <x v="4"/>
    <n v="2373.34"/>
    <n v="2381.59"/>
    <n v="2366.9"/>
    <n v="2376.31"/>
    <n v="2374.4"/>
    <n v="209271"/>
    <n v="1.2999999999999999E-3"/>
    <n v="1828.9939999999999"/>
    <n v="2.97"/>
    <x v="0"/>
  </r>
  <r>
    <d v="2025-05-07T00:00:00"/>
    <x v="0"/>
    <n v="2888.42"/>
    <n v="2896.08"/>
    <n v="2869.31"/>
    <n v="2882.01"/>
    <n v="2883.83"/>
    <n v="101631"/>
    <n v="-2.2000000000000001E-3"/>
    <n v="1831.6780000000001"/>
    <n v="-6.41"/>
    <x v="1"/>
  </r>
  <r>
    <d v="2025-05-07T00:00:00"/>
    <x v="1"/>
    <n v="1256"/>
    <n v="1272.75"/>
    <n v="1245.05"/>
    <n v="1248.05"/>
    <n v="1248.54"/>
    <n v="364977"/>
    <n v="-6.3E-3"/>
    <n v="1831.7760000000001"/>
    <n v="-7.95"/>
    <x v="1"/>
  </r>
  <r>
    <d v="2025-05-07T00:00:00"/>
    <x v="2"/>
    <n v="1943.58"/>
    <n v="1954.28"/>
    <n v="1929.73"/>
    <n v="1937.92"/>
    <n v="1936.99"/>
    <n v="279526"/>
    <n v="-2.8999999999999998E-3"/>
    <n v="1828.7239999999999"/>
    <n v="-5.66"/>
    <x v="1"/>
  </r>
  <r>
    <d v="2025-05-07T00:00:00"/>
    <x v="3"/>
    <n v="695.49"/>
    <n v="707.71"/>
    <n v="688.73"/>
    <n v="700.68"/>
    <n v="699.18"/>
    <n v="253632"/>
    <n v="7.4999999999999997E-3"/>
    <n v="1831.7080000000001"/>
    <n v="5.19"/>
    <x v="0"/>
  </r>
  <r>
    <d v="2025-05-07T00:00:00"/>
    <x v="4"/>
    <n v="2379.25"/>
    <n v="2392.4499999999998"/>
    <n v="2370.77"/>
    <n v="2389.73"/>
    <n v="2389.29"/>
    <n v="272344"/>
    <n v="4.4000000000000003E-3"/>
    <n v="1828.184"/>
    <n v="10.48"/>
    <x v="0"/>
  </r>
  <r>
    <d v="2025-05-08T00:00:00"/>
    <x v="0"/>
    <n v="2885.77"/>
    <n v="2891"/>
    <n v="2866.85"/>
    <n v="2882.5"/>
    <n v="2882.21"/>
    <n v="209479"/>
    <n v="-1.1000000000000001E-3"/>
    <n v="1827.318"/>
    <n v="-3.27"/>
    <x v="1"/>
  </r>
  <r>
    <d v="2025-05-08T00:00:00"/>
    <x v="1"/>
    <n v="1236.97"/>
    <n v="1248.8599999999999"/>
    <n v="1217.27"/>
    <n v="1232.79"/>
    <n v="1232.76"/>
    <n v="478907"/>
    <n v="-3.3999999999999998E-3"/>
    <n v="1827.5920000000001"/>
    <n v="-4.18"/>
    <x v="1"/>
  </r>
  <r>
    <d v="2025-05-08T00:00:00"/>
    <x v="2"/>
    <n v="1943.2"/>
    <n v="1956.48"/>
    <n v="1931.66"/>
    <n v="1952.84"/>
    <n v="1952.02"/>
    <n v="439556"/>
    <n v="5.0000000000000001E-3"/>
    <n v="1832.884"/>
    <n v="9.64"/>
    <x v="0"/>
  </r>
  <r>
    <d v="2025-05-08T00:00:00"/>
    <x v="3"/>
    <n v="676.24"/>
    <n v="684.25"/>
    <n v="663.87"/>
    <n v="683.06"/>
    <n v="681.32"/>
    <n v="202055"/>
    <n v="1.01E-2"/>
    <n v="1835.992"/>
    <n v="6.82"/>
    <x v="0"/>
  </r>
  <r>
    <d v="2025-05-08T00:00:00"/>
    <x v="4"/>
    <n v="2366.12"/>
    <n v="2385.94"/>
    <n v="2359.0700000000002"/>
    <n v="2385.4"/>
    <n v="2386.1799999999998"/>
    <n v="182260"/>
    <n v="8.0999999999999996E-3"/>
    <n v="1834.0920000000001"/>
    <n v="19.28"/>
    <x v="0"/>
  </r>
  <r>
    <d v="2025-05-09T00:00:00"/>
    <x v="0"/>
    <n v="2883.48"/>
    <n v="2894.26"/>
    <n v="2865.71"/>
    <n v="2883.87"/>
    <n v="2883.14"/>
    <n v="493922"/>
    <n v="1E-4"/>
    <n v="1825.664"/>
    <n v="0.39"/>
    <x v="0"/>
  </r>
  <r>
    <d v="2025-05-09T00:00:00"/>
    <x v="1"/>
    <n v="1265.23"/>
    <n v="1273.83"/>
    <n v="1259.0899999999999"/>
    <n v="1259.25"/>
    <n v="1257.77"/>
    <n v="433577"/>
    <n v="-4.7000000000000002E-3"/>
    <n v="1826.0319999999999"/>
    <n v="-5.98"/>
    <x v="1"/>
  </r>
  <r>
    <d v="2025-05-09T00:00:00"/>
    <x v="2"/>
    <n v="1965.72"/>
    <n v="1982.72"/>
    <n v="1954.34"/>
    <n v="1968.38"/>
    <n v="1966.47"/>
    <n v="352871"/>
    <n v="1.4E-3"/>
    <n v="1824.53"/>
    <n v="2.66"/>
    <x v="0"/>
  </r>
  <r>
    <d v="2025-05-09T00:00:00"/>
    <x v="3"/>
    <n v="667.09"/>
    <n v="684.05"/>
    <n v="657.43"/>
    <n v="673.56"/>
    <n v="673.38"/>
    <n v="313446"/>
    <n v="9.7000000000000003E-3"/>
    <n v="1821.5219999999999"/>
    <n v="6.47"/>
    <x v="0"/>
  </r>
  <r>
    <d v="2025-05-09T00:00:00"/>
    <x v="4"/>
    <n v="2352.64"/>
    <n v="2368.4"/>
    <n v="2337.25"/>
    <n v="2343.2600000000002"/>
    <n v="2345.23"/>
    <n v="168722"/>
    <n v="-4.0000000000000001E-3"/>
    <n v="1820.546"/>
    <n v="-9.3800000000000008"/>
    <x v="1"/>
  </r>
  <r>
    <d v="2025-05-12T00:00:00"/>
    <x v="0"/>
    <n v="2890.14"/>
    <n v="2909.18"/>
    <n v="2874.7"/>
    <n v="2885.71"/>
    <n v="2885.99"/>
    <n v="424752"/>
    <n v="-1.5E-3"/>
    <n v="1828.3520000000001"/>
    <n v="-4.43"/>
    <x v="1"/>
  </r>
  <r>
    <d v="2025-05-12T00:00:00"/>
    <x v="1"/>
    <n v="1257.67"/>
    <n v="1265.4000000000001"/>
    <n v="1247.48"/>
    <n v="1251.74"/>
    <n v="1253.33"/>
    <n v="432936"/>
    <n v="-4.7000000000000002E-3"/>
    <n v="1829.7380000000001"/>
    <n v="-5.93"/>
    <x v="1"/>
  </r>
  <r>
    <d v="2025-05-12T00:00:00"/>
    <x v="2"/>
    <n v="1959.08"/>
    <n v="1973.58"/>
    <n v="1950.21"/>
    <n v="1953.34"/>
    <n v="1951.9"/>
    <n v="172023"/>
    <n v="-2.8999999999999998E-3"/>
    <n v="1833.95"/>
    <n v="-5.74"/>
    <x v="1"/>
  </r>
  <r>
    <d v="2025-05-12T00:00:00"/>
    <x v="3"/>
    <n v="678.48"/>
    <n v="692.48"/>
    <n v="669.11"/>
    <n v="668.68"/>
    <n v="669.46"/>
    <n v="483450"/>
    <n v="-1.44E-2"/>
    <n v="1832.386"/>
    <n v="-9.8000000000000007"/>
    <x v="1"/>
  </r>
  <r>
    <d v="2025-05-12T00:00:00"/>
    <x v="4"/>
    <n v="2372.69"/>
    <n v="2381.8000000000002"/>
    <n v="2366.5"/>
    <n v="2382.29"/>
    <n v="2380.63"/>
    <n v="179608"/>
    <n v="4.0000000000000001E-3"/>
    <n v="1835.81"/>
    <n v="9.6"/>
    <x v="0"/>
  </r>
  <r>
    <d v="2025-05-13T00:00:00"/>
    <x v="0"/>
    <n v="2890.31"/>
    <n v="2910.16"/>
    <n v="2883.21"/>
    <n v="2892.64"/>
    <n v="2892.71"/>
    <n v="273958"/>
    <n v="8.0000000000000004E-4"/>
    <n v="1830.2660000000001"/>
    <n v="2.33"/>
    <x v="0"/>
  </r>
  <r>
    <d v="2025-05-13T00:00:00"/>
    <x v="1"/>
    <n v="1274.55"/>
    <n v="1282.1300000000001"/>
    <n v="1266.67"/>
    <n v="1272.8"/>
    <n v="1270.96"/>
    <n v="433143"/>
    <n v="-1.4E-3"/>
    <n v="1830.606"/>
    <n v="-1.75"/>
    <x v="1"/>
  </r>
  <r>
    <d v="2025-05-13T00:00:00"/>
    <x v="2"/>
    <n v="1943.12"/>
    <n v="1952.2"/>
    <n v="1937.84"/>
    <n v="1945.52"/>
    <n v="1947.18"/>
    <n v="388550"/>
    <n v="1.1999999999999999E-3"/>
    <n v="1825.126"/>
    <n v="2.4"/>
    <x v="0"/>
  </r>
  <r>
    <d v="2025-05-13T00:00:00"/>
    <x v="3"/>
    <n v="686.72"/>
    <n v="692.31"/>
    <n v="674.51"/>
    <n v="685.8"/>
    <n v="684.22"/>
    <n v="366941"/>
    <n v="-1.2999999999999999E-3"/>
    <n v="1826.2159999999999"/>
    <n v="-0.92"/>
    <x v="1"/>
  </r>
  <r>
    <d v="2025-05-13T00:00:00"/>
    <x v="4"/>
    <n v="2355.9899999999998"/>
    <n v="2366.31"/>
    <n v="2349.9499999999998"/>
    <n v="2354.5700000000002"/>
    <n v="2354.65"/>
    <n v="451427"/>
    <n v="-5.9999999999999995E-4"/>
    <n v="1824.3620000000001"/>
    <n v="-1.42"/>
    <x v="1"/>
  </r>
  <r>
    <d v="2025-05-14T00:00:00"/>
    <x v="0"/>
    <n v="2891.58"/>
    <n v="2907.04"/>
    <n v="2876.04"/>
    <n v="2894.34"/>
    <n v="2893.78"/>
    <n v="356538"/>
    <n v="1E-3"/>
    <n v="1826.104"/>
    <n v="2.76"/>
    <x v="0"/>
  </r>
  <r>
    <d v="2025-05-14T00:00:00"/>
    <x v="1"/>
    <n v="1248.7"/>
    <n v="1256.3599999999999"/>
    <n v="1242.3699999999999"/>
    <n v="1245.4000000000001"/>
    <n v="1243.8800000000001"/>
    <n v="455915"/>
    <n v="-2.5999999999999999E-3"/>
    <n v="1825.9559999999999"/>
    <n v="-3.3"/>
    <x v="1"/>
  </r>
  <r>
    <d v="2025-05-14T00:00:00"/>
    <x v="2"/>
    <n v="1957.96"/>
    <n v="1967.07"/>
    <n v="1944.65"/>
    <n v="1950.97"/>
    <n v="1951.58"/>
    <n v="452208"/>
    <n v="-3.5999999999999999E-3"/>
    <n v="1824.4079999999999"/>
    <n v="-6.99"/>
    <x v="1"/>
  </r>
  <r>
    <d v="2025-05-14T00:00:00"/>
    <x v="3"/>
    <n v="682.96"/>
    <n v="697.23"/>
    <n v="667.42"/>
    <n v="676.53"/>
    <n v="676.77"/>
    <n v="125875"/>
    <n v="-9.4000000000000004E-3"/>
    <n v="1824.8140000000001"/>
    <n v="-6.43"/>
    <x v="1"/>
  </r>
  <r>
    <d v="2025-05-14T00:00:00"/>
    <x v="4"/>
    <n v="2369.34"/>
    <n v="2387.54"/>
    <n v="2354.58"/>
    <n v="2363.2800000000002"/>
    <n v="2363.41"/>
    <n v="217413"/>
    <n v="-2.5999999999999999E-3"/>
    <n v="1824.87"/>
    <n v="-6.06"/>
    <x v="1"/>
  </r>
  <r>
    <d v="2025-05-15T00:00:00"/>
    <x v="0"/>
    <n v="2897.05"/>
    <n v="2914.2"/>
    <n v="2879.04"/>
    <n v="2893.6"/>
    <n v="2895.25"/>
    <n v="379100"/>
    <n v="-1.1999999999999999E-3"/>
    <n v="1821.548"/>
    <n v="-3.45"/>
    <x v="1"/>
  </r>
  <r>
    <d v="2025-05-15T00:00:00"/>
    <x v="1"/>
    <n v="1239.6600000000001"/>
    <n v="1250.1199999999999"/>
    <n v="1227.1099999999999"/>
    <n v="1237.6600000000001"/>
    <n v="1238.42"/>
    <n v="290209"/>
    <n v="-1.6000000000000001E-3"/>
    <n v="1825.5319999999999"/>
    <n v="-2"/>
    <x v="1"/>
  </r>
  <r>
    <d v="2025-05-15T00:00:00"/>
    <x v="2"/>
    <n v="1951.31"/>
    <n v="1956.47"/>
    <n v="1944.26"/>
    <n v="1953"/>
    <n v="1954.6"/>
    <n v="146301"/>
    <n v="8.9999999999999998E-4"/>
    <n v="1827.5419999999999"/>
    <n v="1.69"/>
    <x v="0"/>
  </r>
  <r>
    <d v="2025-05-15T00:00:00"/>
    <x v="3"/>
    <n v="674.24"/>
    <n v="684.5"/>
    <n v="668.74"/>
    <n v="676.81"/>
    <n v="675.12"/>
    <n v="291345"/>
    <n v="3.8E-3"/>
    <n v="1829.54"/>
    <n v="2.57"/>
    <x v="0"/>
  </r>
  <r>
    <d v="2025-05-15T00:00:00"/>
    <x v="4"/>
    <n v="2355.27"/>
    <n v="2370.31"/>
    <n v="2335.36"/>
    <n v="2346.67"/>
    <n v="2347.3200000000002"/>
    <n v="419470"/>
    <n v="-3.7000000000000002E-3"/>
    <n v="1828.31"/>
    <n v="-8.6"/>
    <x v="1"/>
  </r>
  <r>
    <d v="2025-05-16T00:00:00"/>
    <x v="0"/>
    <n v="2893.15"/>
    <n v="2910.12"/>
    <n v="2878.4"/>
    <n v="2913.52"/>
    <n v="2914.33"/>
    <n v="137012"/>
    <n v="7.0000000000000001E-3"/>
    <n v="1836.75"/>
    <n v="20.37"/>
    <x v="0"/>
  </r>
  <r>
    <d v="2025-05-16T00:00:00"/>
    <x v="1"/>
    <n v="1247"/>
    <n v="1265.0999999999999"/>
    <n v="1228.19"/>
    <n v="1247.71"/>
    <n v="1245.95"/>
    <n v="473094"/>
    <n v="5.9999999999999995E-4"/>
    <n v="1832.23"/>
    <n v="0.71"/>
    <x v="0"/>
  </r>
  <r>
    <d v="2025-05-16T00:00:00"/>
    <x v="2"/>
    <n v="1958.56"/>
    <n v="1972.57"/>
    <n v="1943.58"/>
    <n v="1962.99"/>
    <n v="1961.69"/>
    <n v="390218"/>
    <n v="2.3E-3"/>
    <n v="1835.414"/>
    <n v="4.43"/>
    <x v="0"/>
  </r>
  <r>
    <d v="2025-05-16T00:00:00"/>
    <x v="3"/>
    <n v="672.98"/>
    <n v="686.49"/>
    <n v="657.64"/>
    <n v="670.66"/>
    <n v="671.86"/>
    <n v="430578"/>
    <n v="-3.3999999999999998E-3"/>
    <n v="1834.3040000000001"/>
    <n v="-2.3199999999999998"/>
    <x v="1"/>
  </r>
  <r>
    <d v="2025-05-16T00:00:00"/>
    <x v="4"/>
    <n v="2383.73"/>
    <n v="2395.71"/>
    <n v="2377.83"/>
    <n v="2388.87"/>
    <n v="2389.12"/>
    <n v="243239"/>
    <n v="2.2000000000000001E-3"/>
    <n v="1834.5440000000001"/>
    <n v="5.14"/>
    <x v="0"/>
  </r>
  <r>
    <d v="2025-05-19T00:00:00"/>
    <x v="0"/>
    <n v="2890.32"/>
    <n v="2900.39"/>
    <n v="2879.69"/>
    <n v="2890.92"/>
    <n v="2889.3"/>
    <n v="147218"/>
    <n v="2.0000000000000001E-4"/>
    <n v="1829.4760000000001"/>
    <n v="0.6"/>
    <x v="0"/>
  </r>
  <r>
    <d v="2025-05-19T00:00:00"/>
    <x v="1"/>
    <n v="1262.51"/>
    <n v="1278.73"/>
    <n v="1254.74"/>
    <n v="1263.6300000000001"/>
    <n v="1262.47"/>
    <n v="486731"/>
    <n v="8.9999999999999998E-4"/>
    <n v="1827.8879999999999"/>
    <n v="1.1200000000000001"/>
    <x v="0"/>
  </r>
  <r>
    <d v="2025-05-19T00:00:00"/>
    <x v="2"/>
    <n v="1954.42"/>
    <n v="1965.17"/>
    <n v="1941.64"/>
    <n v="1957.44"/>
    <n v="1955.63"/>
    <n v="152259"/>
    <n v="1.5E-3"/>
    <n v="1823.4839999999999"/>
    <n v="3.02"/>
    <x v="0"/>
  </r>
  <r>
    <d v="2025-05-19T00:00:00"/>
    <x v="3"/>
    <n v="678.07"/>
    <n v="684.64"/>
    <n v="663.52"/>
    <n v="671.86"/>
    <n v="672.69"/>
    <n v="455714"/>
    <n v="-9.1999999999999998E-3"/>
    <n v="1822.7260000000001"/>
    <n v="-6.21"/>
    <x v="1"/>
  </r>
  <r>
    <d v="2025-05-19T00:00:00"/>
    <x v="4"/>
    <n v="2357.09"/>
    <n v="2370.13"/>
    <n v="2350.64"/>
    <n v="2363.5300000000002"/>
    <n v="2363.33"/>
    <n v="116714"/>
    <n v="2.7000000000000001E-3"/>
    <n v="1824.1859999999999"/>
    <n v="6.44"/>
    <x v="0"/>
  </r>
  <r>
    <d v="2025-05-20T00:00:00"/>
    <x v="0"/>
    <n v="2883.15"/>
    <n v="2895.13"/>
    <n v="2870.01"/>
    <n v="2882.98"/>
    <n v="2882.13"/>
    <n v="480225"/>
    <n v="-1E-4"/>
    <n v="1824.4480000000001"/>
    <n v="-0.17"/>
    <x v="1"/>
  </r>
  <r>
    <d v="2025-05-20T00:00:00"/>
    <x v="1"/>
    <n v="1251.25"/>
    <n v="1265.52"/>
    <n v="1240.72"/>
    <n v="1241.6099999999999"/>
    <n v="1241.46"/>
    <n v="410408"/>
    <n v="-7.7000000000000002E-3"/>
    <n v="1823.5239999999999"/>
    <n v="-9.64"/>
    <x v="1"/>
  </r>
  <r>
    <d v="2025-05-20T00:00:00"/>
    <x v="2"/>
    <n v="1961.18"/>
    <n v="1967.42"/>
    <n v="1947.13"/>
    <n v="1953.65"/>
    <n v="1952.63"/>
    <n v="106869"/>
    <n v="-3.8E-3"/>
    <n v="1827.2919999999999"/>
    <n v="-7.53"/>
    <x v="1"/>
  </r>
  <r>
    <d v="2025-05-20T00:00:00"/>
    <x v="3"/>
    <n v="683.6"/>
    <n v="699.24"/>
    <n v="665.54"/>
    <n v="679.16"/>
    <n v="680.02"/>
    <n v="477375"/>
    <n v="-6.4999999999999997E-3"/>
    <n v="1823.37"/>
    <n v="-4.4400000000000004"/>
    <x v="1"/>
  </r>
  <r>
    <d v="2025-05-20T00:00:00"/>
    <x v="4"/>
    <n v="2359.64"/>
    <n v="2374.61"/>
    <n v="2342.71"/>
    <n v="2364.84"/>
    <n v="2366.5500000000002"/>
    <n v="100814"/>
    <n v="2.2000000000000001E-3"/>
    <n v="1825.172"/>
    <n v="5.2"/>
    <x v="0"/>
  </r>
  <r>
    <d v="2025-05-21T00:00:00"/>
    <x v="0"/>
    <n v="2883.85"/>
    <n v="2889.41"/>
    <n v="2866.51"/>
    <n v="2878.36"/>
    <n v="2877.8"/>
    <n v="424384"/>
    <n v="-1.9E-3"/>
    <n v="1821.8679999999999"/>
    <n v="-5.49"/>
    <x v="1"/>
  </r>
  <r>
    <d v="2025-05-21T00:00:00"/>
    <x v="1"/>
    <n v="1262.51"/>
    <n v="1280.94"/>
    <n v="1249.83"/>
    <n v="1260.45"/>
    <n v="1260.58"/>
    <n v="360471"/>
    <n v="-1.6000000000000001E-3"/>
    <n v="1823.6780000000001"/>
    <n v="-2.06"/>
    <x v="1"/>
  </r>
  <r>
    <d v="2025-05-21T00:00:00"/>
    <x v="2"/>
    <n v="1940.76"/>
    <n v="1951.1"/>
    <n v="1924.97"/>
    <n v="1934.04"/>
    <n v="1933.23"/>
    <n v="118793"/>
    <n v="-3.5000000000000001E-3"/>
    <n v="1821.6120000000001"/>
    <n v="-6.72"/>
    <x v="1"/>
  </r>
  <r>
    <d v="2025-05-21T00:00:00"/>
    <x v="3"/>
    <n v="677.21"/>
    <n v="694.43"/>
    <n v="671.01"/>
    <n v="688.17"/>
    <n v="689.75"/>
    <n v="223603"/>
    <n v="1.6199999999999999E-2"/>
    <n v="1826.33"/>
    <n v="10.96"/>
    <x v="0"/>
  </r>
  <r>
    <d v="2025-05-21T00:00:00"/>
    <x v="4"/>
    <n v="2361.66"/>
    <n v="2368.9499999999998"/>
    <n v="2341.77"/>
    <n v="2348.3200000000002"/>
    <n v="2350.0300000000002"/>
    <n v="464982"/>
    <n v="-5.5999999999999999E-3"/>
    <n v="1827.84"/>
    <n v="-13.34"/>
    <x v="1"/>
  </r>
  <r>
    <d v="2025-05-22T00:00:00"/>
    <x v="0"/>
    <n v="2888.64"/>
    <n v="2905.19"/>
    <n v="2880.4"/>
    <n v="2887.41"/>
    <n v="2887.9"/>
    <n v="141348"/>
    <n v="-4.0000000000000002E-4"/>
    <n v="1833.99"/>
    <n v="-1.23"/>
    <x v="1"/>
  </r>
  <r>
    <d v="2025-05-22T00:00:00"/>
    <x v="1"/>
    <n v="1252.72"/>
    <n v="1265.71"/>
    <n v="1244.08"/>
    <n v="1250.1199999999999"/>
    <n v="1249.2"/>
    <n v="196462"/>
    <n v="-2.0999999999999999E-3"/>
    <n v="1840.596"/>
    <n v="-2.6"/>
    <x v="1"/>
  </r>
  <r>
    <d v="2025-05-22T00:00:00"/>
    <x v="2"/>
    <n v="1946.51"/>
    <n v="1961.47"/>
    <n v="1927.46"/>
    <n v="1957.63"/>
    <n v="1958.56"/>
    <n v="234357"/>
    <n v="5.7000000000000002E-3"/>
    <n v="1841.116"/>
    <n v="11.12"/>
    <x v="0"/>
  </r>
  <r>
    <d v="2025-05-22T00:00:00"/>
    <x v="3"/>
    <n v="696.17"/>
    <n v="707.95"/>
    <n v="681.52"/>
    <n v="695.72"/>
    <n v="695.83"/>
    <n v="153850"/>
    <n v="-5.9999999999999995E-4"/>
    <n v="1839.818"/>
    <n v="-0.45"/>
    <x v="1"/>
  </r>
  <r>
    <d v="2025-05-22T00:00:00"/>
    <x v="4"/>
    <n v="2379.13"/>
    <n v="2391.94"/>
    <n v="2364.7800000000002"/>
    <n v="2379.0700000000002"/>
    <n v="2377.4299999999998"/>
    <n v="115372"/>
    <n v="0"/>
    <n v="1836.4580000000001"/>
    <n v="-0.06"/>
    <x v="1"/>
  </r>
  <r>
    <d v="2025-05-23T00:00:00"/>
    <x v="0"/>
    <n v="2911.89"/>
    <n v="2926.45"/>
    <n v="2896"/>
    <n v="2920.44"/>
    <n v="2922.34"/>
    <n v="232136"/>
    <n v="2.8999999999999998E-3"/>
    <n v="1833.4179999999999"/>
    <n v="8.5500000000000007"/>
    <x v="0"/>
  </r>
  <r>
    <d v="2025-05-23T00:00:00"/>
    <x v="1"/>
    <n v="1252.1300000000001"/>
    <n v="1261.96"/>
    <n v="1243.96"/>
    <n v="1252.72"/>
    <n v="1252.03"/>
    <n v="135327"/>
    <n v="5.0000000000000001E-4"/>
    <n v="1823.854"/>
    <n v="0.59"/>
    <x v="0"/>
  </r>
  <r>
    <d v="2025-05-23T00:00:00"/>
    <x v="2"/>
    <n v="1962.08"/>
    <n v="1967.85"/>
    <n v="1949.63"/>
    <n v="1951.14"/>
    <n v="1951.53"/>
    <n v="392564"/>
    <n v="-5.5999999999999999E-3"/>
    <n v="1828.8019999999999"/>
    <n v="-10.94"/>
    <x v="1"/>
  </r>
  <r>
    <d v="2025-05-23T00:00:00"/>
    <x v="3"/>
    <n v="679.3"/>
    <n v="685.21"/>
    <n v="670.59"/>
    <n v="678.92"/>
    <n v="677.56"/>
    <n v="362083"/>
    <n v="-5.9999999999999995E-4"/>
    <n v="1831.4159999999999"/>
    <n v="-0.38"/>
    <x v="1"/>
  </r>
  <r>
    <d v="2025-05-23T00:00:00"/>
    <x v="4"/>
    <n v="2361.73"/>
    <n v="2379.12"/>
    <n v="2345"/>
    <n v="2363.87"/>
    <n v="2364.6999999999998"/>
    <n v="133149"/>
    <n v="8.9999999999999998E-4"/>
    <n v="1832.9760000000001"/>
    <n v="2.14"/>
    <x v="0"/>
  </r>
  <r>
    <d v="2025-05-26T00:00:00"/>
    <x v="0"/>
    <n v="2867.75"/>
    <n v="2884.68"/>
    <n v="2858.69"/>
    <n v="2872.62"/>
    <n v="2872.38"/>
    <n v="456826"/>
    <n v="1.6999999999999999E-3"/>
    <n v="1829.424"/>
    <n v="4.87"/>
    <x v="0"/>
  </r>
  <r>
    <d v="2025-05-26T00:00:00"/>
    <x v="1"/>
    <n v="1270.8699999999999"/>
    <n v="1287.71"/>
    <n v="1258.3900000000001"/>
    <n v="1277.46"/>
    <n v="1275.81"/>
    <n v="227069"/>
    <n v="5.1999999999999998E-3"/>
    <n v="1832.6420000000001"/>
    <n v="6.59"/>
    <x v="0"/>
  </r>
  <r>
    <d v="2025-05-26T00:00:00"/>
    <x v="2"/>
    <n v="1967.49"/>
    <n v="1974.09"/>
    <n v="1961.36"/>
    <n v="1964.21"/>
    <n v="1965.12"/>
    <n v="302744"/>
    <n v="-1.6999999999999999E-3"/>
    <n v="1834.184"/>
    <n v="-3.28"/>
    <x v="1"/>
  </r>
  <r>
    <d v="2025-05-26T00:00:00"/>
    <x v="3"/>
    <n v="679.8"/>
    <n v="699.44"/>
    <n v="669.75"/>
    <n v="686.72"/>
    <n v="685.45"/>
    <n v="256861"/>
    <n v="1.0200000000000001E-2"/>
    <n v="1836.7260000000001"/>
    <n v="6.92"/>
    <x v="0"/>
  </r>
  <r>
    <d v="2025-05-26T00:00:00"/>
    <x v="4"/>
    <n v="2359.14"/>
    <n v="2365.4499999999998"/>
    <n v="2340.09"/>
    <n v="2346.11"/>
    <n v="2346.33"/>
    <n v="202592"/>
    <n v="-5.4999999999999997E-3"/>
    <n v="1838.2639999999999"/>
    <n v="-13.03"/>
    <x v="1"/>
  </r>
  <r>
    <d v="2025-05-27T00:00:00"/>
    <x v="0"/>
    <n v="2880.28"/>
    <n v="2887.88"/>
    <n v="2872.93"/>
    <n v="2888.71"/>
    <n v="2887.71"/>
    <n v="483496"/>
    <n v="2.8999999999999998E-3"/>
    <n v="1838.914"/>
    <n v="8.43"/>
    <x v="0"/>
  </r>
  <r>
    <d v="2025-05-27T00:00:00"/>
    <x v="1"/>
    <n v="1277.74"/>
    <n v="1293.92"/>
    <n v="1266.27"/>
    <n v="1285.17"/>
    <n v="1283.68"/>
    <n v="462344"/>
    <n v="5.7999999999999996E-3"/>
    <n v="1843.2760000000001"/>
    <n v="7.43"/>
    <x v="0"/>
  </r>
  <r>
    <d v="2025-05-27T00:00:00"/>
    <x v="2"/>
    <n v="1975.75"/>
    <n v="1987.27"/>
    <n v="1967.05"/>
    <n v="1976.92"/>
    <n v="1978.2"/>
    <n v="332705"/>
    <n v="5.9999999999999995E-4"/>
    <n v="1834.02"/>
    <n v="1.17"/>
    <x v="0"/>
  </r>
  <r>
    <d v="2025-05-27T00:00:00"/>
    <x v="3"/>
    <n v="689.19"/>
    <n v="701.66"/>
    <n v="675.86"/>
    <n v="694.41"/>
    <n v="695.29"/>
    <n v="373629"/>
    <n v="7.6E-3"/>
    <n v="1831.596"/>
    <n v="5.22"/>
    <x v="0"/>
  </r>
  <r>
    <d v="2025-05-27T00:00:00"/>
    <x v="4"/>
    <n v="2358.52"/>
    <n v="2370.23"/>
    <n v="2344.5100000000002"/>
    <n v="2349.36"/>
    <n v="2349.42"/>
    <n v="292274"/>
    <n v="-3.8999999999999998E-3"/>
    <n v="1828.79"/>
    <n v="-9.16"/>
    <x v="1"/>
  </r>
  <r>
    <d v="2025-05-28T00:00:00"/>
    <x v="0"/>
    <n v="2905.65"/>
    <n v="2920.55"/>
    <n v="2896.45"/>
    <n v="2910.52"/>
    <n v="2912.34"/>
    <n v="301006"/>
    <n v="1.6999999999999999E-3"/>
    <n v="1833.356"/>
    <n v="4.87"/>
    <x v="0"/>
  </r>
  <r>
    <d v="2025-05-28T00:00:00"/>
    <x v="1"/>
    <n v="1245.24"/>
    <n v="1259.93"/>
    <n v="1231.68"/>
    <n v="1238.8900000000001"/>
    <n v="1238.31"/>
    <n v="264438"/>
    <n v="-5.1000000000000004E-3"/>
    <n v="1831.546"/>
    <n v="-6.35"/>
    <x v="1"/>
  </r>
  <r>
    <d v="2025-05-28T00:00:00"/>
    <x v="2"/>
    <n v="1962.32"/>
    <n v="1971.4"/>
    <n v="1948.47"/>
    <n v="1964.8"/>
    <n v="1964.24"/>
    <n v="379761"/>
    <n v="1.2999999999999999E-3"/>
    <n v="1834.954"/>
    <n v="2.48"/>
    <x v="0"/>
  </r>
  <r>
    <d v="2025-05-28T00:00:00"/>
    <x v="3"/>
    <n v="683.38"/>
    <n v="691.37"/>
    <n v="668.18"/>
    <n v="680.38"/>
    <n v="678.67"/>
    <n v="337614"/>
    <n v="-4.4000000000000003E-3"/>
    <n v="1829.8340000000001"/>
    <n v="-3"/>
    <x v="1"/>
  </r>
  <r>
    <d v="2025-05-28T00:00:00"/>
    <x v="4"/>
    <n v="2366.94"/>
    <n v="2386.8200000000002"/>
    <n v="2349.17"/>
    <n v="2372.19"/>
    <n v="2371.02"/>
    <n v="440230"/>
    <n v="2.2000000000000001E-3"/>
    <n v="1832.4059999999999"/>
    <n v="5.25"/>
    <x v="0"/>
  </r>
  <r>
    <d v="2025-05-29T00:00:00"/>
    <x v="0"/>
    <n v="2891.77"/>
    <n v="2905.95"/>
    <n v="2880.48"/>
    <n v="2901.47"/>
    <n v="2900.46"/>
    <n v="140412"/>
    <n v="3.3999999999999998E-3"/>
    <n v="1831.672"/>
    <n v="9.6999999999999993"/>
    <x v="0"/>
  </r>
  <r>
    <d v="2025-05-29T00:00:00"/>
    <x v="1"/>
    <n v="1254.28"/>
    <n v="1262.8399999999999"/>
    <n v="1247.75"/>
    <n v="1255.93"/>
    <n v="1254.54"/>
    <n v="496471"/>
    <n v="1.2999999999999999E-3"/>
    <n v="1564.2225000000001"/>
    <n v="1.65"/>
    <x v="0"/>
  </r>
  <r>
    <d v="2025-05-29T00:00:00"/>
    <x v="2"/>
    <n v="1942.81"/>
    <n v="1955.94"/>
    <n v="1924.72"/>
    <n v="1939.2"/>
    <n v="1940.13"/>
    <n v="337155"/>
    <n v="-1.9E-3"/>
    <n v="1666.9866669999999"/>
    <n v="-3.61"/>
    <x v="1"/>
  </r>
  <r>
    <d v="2025-05-29T00:00:00"/>
    <x v="3"/>
    <n v="693.91"/>
    <n v="709.82"/>
    <n v="677.77"/>
    <n v="693.24"/>
    <n v="692.94"/>
    <n v="135965"/>
    <n v="-1E-3"/>
    <n v="1530.88"/>
    <n v="-0.67"/>
    <x v="1"/>
  </r>
  <r>
    <d v="2025-05-29T00:00:00"/>
    <x v="4"/>
    <n v="2362.61"/>
    <n v="2380.7800000000002"/>
    <n v="2344.59"/>
    <n v="2368.52"/>
    <n v="2369.7399999999998"/>
    <n v="211867"/>
    <n v="2.5000000000000001E-3"/>
    <n v="2368.52"/>
    <n v="5.9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74C17-75A0-4961-BA6D-99D58AB088C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ompany">
  <location ref="A3:B9" firstHeaderRow="1" firstDataRow="1" firstDataCol="1"/>
  <pivotFields count="12">
    <pivotField numFmtId="14" showAll="0"/>
    <pivotField axis="axisRow" showAll="0">
      <items count="6">
        <item x="3"/>
        <item x="1"/>
        <item x="4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0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Volume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32638-EA1E-4333-82C7-5B0C13729BD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ompany">
  <location ref="A3:B9" firstHeaderRow="1" firstDataRow="1" firstDataCol="1"/>
  <pivotFields count="12">
    <pivotField numFmtId="14" showAll="0"/>
    <pivotField axis="axisRow" showAll="0">
      <items count="6">
        <item x="3"/>
        <item x="1"/>
        <item x="4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lose" fld="5" subtotal="average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BEB6E-98C8-451D-A5C8-8D797853DEB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fit/Loss">
  <location ref="A3:B6" firstHeaderRow="1" firstDataRow="1" firstDataCol="1"/>
  <pivotFields count="12">
    <pivotField dataField="1" numFmtId="14"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Date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86159-F654-4B8B-AC97-977F845FD93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Company" colHeaderCaption="Profit/Loss">
  <location ref="A3:D10" firstHeaderRow="1" firstDataRow="2" firstDataCol="1"/>
  <pivotFields count="12">
    <pivotField dataField="1" numFmtId="14" showAll="0"/>
    <pivotField axis="axisRow" showAll="0">
      <items count="6">
        <item x="3"/>
        <item x="1"/>
        <item x="4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Date" fld="0" subtotal="count" baseField="0" baseItem="0"/>
  </dataFields>
  <chartFormats count="4"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6A0ED2-453B-4632-8F6F-11F463A81609}" autoFormatId="16" applyNumberFormats="0" applyBorderFormats="0" applyFontFormats="0" applyPatternFormats="0" applyAlignmentFormats="0" applyWidthHeightFormats="0">
  <queryTableRefresh nextId="15">
    <queryTableFields count="12">
      <queryTableField id="1" name="Date" tableColumnId="1"/>
      <queryTableField id="2" name="Company" tableColumnId="2"/>
      <queryTableField id="3" name="Open" tableColumnId="3"/>
      <queryTableField id="4" name="High" tableColumnId="4"/>
      <queryTableField id="5" name="Low" tableColumnId="5"/>
      <queryTableField id="6" name="Close" tableColumnId="6"/>
      <queryTableField id="7" name="Adj Close" tableColumnId="7"/>
      <queryTableField id="8" name="Volume" tableColumnId="8"/>
      <queryTableField id="9" name="Daily Return %" tableColumnId="9"/>
      <queryTableField id="10" name="5-Day Moving Average" tableColumnId="10"/>
      <queryTableField id="13" name="Profit_Value" tableColumnId="12"/>
      <queryTableField id="11" name="Profit/Los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4C18A1-04BC-41FC-8105-DDDBCA1EC25D}" name="Stock_Market_Dataset" displayName="Stock_Market_Dataset" ref="A1:L301" tableType="queryTable" totalsRowShown="0">
  <autoFilter ref="A1:L301" xr:uid="{064C18A1-04BC-41FC-8105-DDDBCA1EC25D}"/>
  <tableColumns count="12">
    <tableColumn id="1" xr3:uid="{57AA9CE9-3A73-478C-B672-33F1E065FF54}" uniqueName="1" name="Date" queryTableFieldId="1" dataDxfId="5"/>
    <tableColumn id="2" xr3:uid="{01BC1750-FBB1-46D2-86EB-DB46E257D170}" uniqueName="2" name="Company" queryTableFieldId="2" dataDxfId="4"/>
    <tableColumn id="3" xr3:uid="{320DB9C2-AA64-491A-BBDC-20FE6488CE4D}" uniqueName="3" name="Open" queryTableFieldId="3"/>
    <tableColumn id="4" xr3:uid="{B664F646-0A1E-4429-9672-09E10A843B33}" uniqueName="4" name="High" queryTableFieldId="4"/>
    <tableColumn id="5" xr3:uid="{41A938F5-844C-4222-BF2A-DBEF410AF93F}" uniqueName="5" name="Low" queryTableFieldId="5"/>
    <tableColumn id="6" xr3:uid="{A6BC5C46-C643-46F1-A9C3-0D3D78CCEE26}" uniqueName="6" name="Close" queryTableFieldId="6"/>
    <tableColumn id="7" xr3:uid="{31F8401D-67CB-4BB9-99CE-642CD94B113E}" uniqueName="7" name="Adj Close" queryTableFieldId="7"/>
    <tableColumn id="8" xr3:uid="{97C6F146-12C7-4B6C-908A-87D6E085FDA0}" uniqueName="8" name="Volume" queryTableFieldId="8"/>
    <tableColumn id="9" xr3:uid="{7BAC4C86-8542-4E4D-82BC-80EC8867096F}" uniqueName="9" name="Daily Return %" queryTableFieldId="9" dataDxfId="3" dataCellStyle="Percent"/>
    <tableColumn id="10" xr3:uid="{0B1D79AF-57A5-44BB-B57D-9E086AE24F75}" uniqueName="10" name="5-Day Moving Average" queryTableFieldId="10"/>
    <tableColumn id="12" xr3:uid="{BE1629EE-184C-438C-8FE4-A67EDDCBE082}" uniqueName="12" name="Profit_Value" queryTableFieldId="13"/>
    <tableColumn id="11" xr3:uid="{1903144E-4BDC-4092-BF8C-C4EC6A43B97B}" uniqueName="11" name="Profit/Loss" queryTableFieldId="11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0324CD-090A-4933-B846-24B922FEAE28}" name="Table2" displayName="Table2" ref="B3:C7" totalsRowShown="0">
  <autoFilter ref="B3:C7" xr:uid="{5B0324CD-090A-4933-B846-24B922FEAE28}"/>
  <tableColumns count="2">
    <tableColumn id="1" xr3:uid="{8962C514-0083-4A79-8E09-42FE11032851}" name="KPI" dataDxfId="1"/>
    <tableColumn id="2" xr3:uid="{451086D3-B3A4-4CB8-85EC-6E1143BDD534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F278-CA25-4078-AF77-2C7EF328C64E}">
  <dimension ref="A1:L301"/>
  <sheetViews>
    <sheetView tabSelected="1" topLeftCell="A2" workbookViewId="0">
      <selection activeCell="G19" sqref="G19"/>
    </sheetView>
  </sheetViews>
  <sheetFormatPr defaultRowHeight="15" x14ac:dyDescent="0.25"/>
  <cols>
    <col min="1" max="1" width="10.42578125" bestFit="1" customWidth="1"/>
    <col min="2" max="2" width="11.5703125" bestFit="1" customWidth="1"/>
    <col min="3" max="3" width="8.140625" bestFit="1" customWidth="1"/>
    <col min="4" max="5" width="8" bestFit="1" customWidth="1"/>
    <col min="6" max="6" width="8.140625" bestFit="1" customWidth="1"/>
    <col min="7" max="7" width="11.5703125" bestFit="1" customWidth="1"/>
    <col min="8" max="8" width="10.28515625" bestFit="1" customWidth="1"/>
    <col min="9" max="9" width="16.28515625" style="2" bestFit="1" customWidth="1"/>
    <col min="10" max="10" width="23.42578125" bestFit="1" customWidth="1"/>
    <col min="11" max="11" width="14.42578125" bestFit="1" customWidth="1"/>
    <col min="12" max="12" width="12.85546875" customWidth="1"/>
    <col min="13" max="13" width="14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18</v>
      </c>
      <c r="L1" t="s">
        <v>10</v>
      </c>
    </row>
    <row r="2" spans="1:12" x14ac:dyDescent="0.25">
      <c r="A2" s="1">
        <v>45723</v>
      </c>
      <c r="B2" t="s">
        <v>11</v>
      </c>
      <c r="C2">
        <v>2892.97</v>
      </c>
      <c r="D2">
        <v>2908.95</v>
      </c>
      <c r="E2">
        <v>2878.99</v>
      </c>
      <c r="F2">
        <v>2893.28</v>
      </c>
      <c r="G2">
        <v>2891.9</v>
      </c>
      <c r="H2">
        <v>114835</v>
      </c>
      <c r="I2" s="2">
        <v>1E-4</v>
      </c>
      <c r="J2">
        <v>1829.86</v>
      </c>
      <c r="K2">
        <v>0.31</v>
      </c>
      <c r="L2" t="s">
        <v>12</v>
      </c>
    </row>
    <row r="3" spans="1:12" x14ac:dyDescent="0.25">
      <c r="A3" s="1">
        <v>45723</v>
      </c>
      <c r="B3" t="s">
        <v>13</v>
      </c>
      <c r="C3">
        <v>1266.67</v>
      </c>
      <c r="D3">
        <v>1271.8900000000001</v>
      </c>
      <c r="E3">
        <v>1259.93</v>
      </c>
      <c r="F3">
        <v>1262.3699999999999</v>
      </c>
      <c r="G3">
        <v>1260.55</v>
      </c>
      <c r="H3">
        <v>192803</v>
      </c>
      <c r="I3" s="2">
        <v>-3.3999999999999998E-3</v>
      </c>
      <c r="J3">
        <v>1831.404</v>
      </c>
      <c r="K3">
        <v>-4.3</v>
      </c>
      <c r="L3" t="s">
        <v>14</v>
      </c>
    </row>
    <row r="4" spans="1:12" x14ac:dyDescent="0.25">
      <c r="A4" s="1">
        <v>45723</v>
      </c>
      <c r="B4" t="s">
        <v>15</v>
      </c>
      <c r="C4">
        <v>1949.49</v>
      </c>
      <c r="D4">
        <v>1957.29</v>
      </c>
      <c r="E4">
        <v>1940.21</v>
      </c>
      <c r="F4">
        <v>1946.31</v>
      </c>
      <c r="G4">
        <v>1945</v>
      </c>
      <c r="H4">
        <v>323996</v>
      </c>
      <c r="I4" s="2">
        <v>-1.6000000000000001E-3</v>
      </c>
      <c r="J4">
        <v>1830.538</v>
      </c>
      <c r="K4">
        <v>-3.18</v>
      </c>
      <c r="L4" t="s">
        <v>14</v>
      </c>
    </row>
    <row r="5" spans="1:12" x14ac:dyDescent="0.25">
      <c r="A5" s="1">
        <v>45723</v>
      </c>
      <c r="B5" t="s">
        <v>16</v>
      </c>
      <c r="C5">
        <v>688.6</v>
      </c>
      <c r="D5">
        <v>703.98</v>
      </c>
      <c r="E5">
        <v>670.86</v>
      </c>
      <c r="F5">
        <v>692.82</v>
      </c>
      <c r="G5">
        <v>691.82</v>
      </c>
      <c r="H5">
        <v>466456</v>
      </c>
      <c r="I5" s="2">
        <v>6.1000000000000004E-3</v>
      </c>
      <c r="J5">
        <v>1829.46</v>
      </c>
      <c r="K5">
        <v>4.22</v>
      </c>
      <c r="L5" t="s">
        <v>12</v>
      </c>
    </row>
    <row r="6" spans="1:12" x14ac:dyDescent="0.25">
      <c r="A6" s="1">
        <v>45723</v>
      </c>
      <c r="B6" t="s">
        <v>17</v>
      </c>
      <c r="C6">
        <v>2354.7399999999998</v>
      </c>
      <c r="D6">
        <v>2374.5500000000002</v>
      </c>
      <c r="E6">
        <v>2349.14</v>
      </c>
      <c r="F6">
        <v>2354.52</v>
      </c>
      <c r="G6">
        <v>2355.9899999999998</v>
      </c>
      <c r="H6">
        <v>133075</v>
      </c>
      <c r="I6" s="2">
        <v>-1E-4</v>
      </c>
      <c r="J6">
        <v>1824.45</v>
      </c>
      <c r="K6">
        <v>-0.22</v>
      </c>
      <c r="L6" t="s">
        <v>14</v>
      </c>
    </row>
    <row r="7" spans="1:12" x14ac:dyDescent="0.25">
      <c r="A7" s="1">
        <v>45726</v>
      </c>
      <c r="B7" t="s">
        <v>11</v>
      </c>
      <c r="C7">
        <v>2890.79</v>
      </c>
      <c r="D7">
        <v>2906.41</v>
      </c>
      <c r="E7">
        <v>2885.48</v>
      </c>
      <c r="F7">
        <v>2901</v>
      </c>
      <c r="G7">
        <v>2902.88</v>
      </c>
      <c r="H7">
        <v>327903</v>
      </c>
      <c r="I7" s="2">
        <v>3.5000000000000001E-3</v>
      </c>
      <c r="J7">
        <v>1826.182</v>
      </c>
      <c r="K7">
        <v>10.210000000000001</v>
      </c>
      <c r="L7" t="s">
        <v>12</v>
      </c>
    </row>
    <row r="8" spans="1:12" x14ac:dyDescent="0.25">
      <c r="A8" s="1">
        <v>45726</v>
      </c>
      <c r="B8" t="s">
        <v>13</v>
      </c>
      <c r="C8">
        <v>1251.6300000000001</v>
      </c>
      <c r="D8">
        <v>1258.0999999999999</v>
      </c>
      <c r="E8">
        <v>1239.26</v>
      </c>
      <c r="F8">
        <v>1258.04</v>
      </c>
      <c r="G8">
        <v>1257.93</v>
      </c>
      <c r="H8">
        <v>165944</v>
      </c>
      <c r="I8" s="2">
        <v>5.1000000000000004E-3</v>
      </c>
      <c r="J8">
        <v>1823.184</v>
      </c>
      <c r="K8">
        <v>6.41</v>
      </c>
      <c r="L8" t="s">
        <v>12</v>
      </c>
    </row>
    <row r="9" spans="1:12" x14ac:dyDescent="0.25">
      <c r="A9" s="1">
        <v>45726</v>
      </c>
      <c r="B9" t="s">
        <v>15</v>
      </c>
      <c r="C9">
        <v>1930.97</v>
      </c>
      <c r="D9">
        <v>1950.71</v>
      </c>
      <c r="E9">
        <v>1924.29</v>
      </c>
      <c r="F9">
        <v>1940.92</v>
      </c>
      <c r="G9">
        <v>1940.51</v>
      </c>
      <c r="H9">
        <v>156769</v>
      </c>
      <c r="I9" s="2">
        <v>5.1999999999999998E-3</v>
      </c>
      <c r="J9">
        <v>1820.296</v>
      </c>
      <c r="K9">
        <v>9.9499999999999993</v>
      </c>
      <c r="L9" t="s">
        <v>12</v>
      </c>
    </row>
    <row r="10" spans="1:12" x14ac:dyDescent="0.25">
      <c r="A10" s="1">
        <v>45726</v>
      </c>
      <c r="B10" t="s">
        <v>16</v>
      </c>
      <c r="C10">
        <v>667.73</v>
      </c>
      <c r="D10">
        <v>687.55</v>
      </c>
      <c r="E10">
        <v>648.57000000000005</v>
      </c>
      <c r="F10">
        <v>667.77</v>
      </c>
      <c r="G10">
        <v>665.93</v>
      </c>
      <c r="H10">
        <v>474865</v>
      </c>
      <c r="I10" s="2">
        <v>1E-4</v>
      </c>
      <c r="J10">
        <v>1822.1659999999999</v>
      </c>
      <c r="K10">
        <v>0.04</v>
      </c>
      <c r="L10" t="s">
        <v>12</v>
      </c>
    </row>
    <row r="11" spans="1:12" x14ac:dyDescent="0.25">
      <c r="A11" s="1">
        <v>45726</v>
      </c>
      <c r="B11" t="s">
        <v>17</v>
      </c>
      <c r="C11">
        <v>2351.38</v>
      </c>
      <c r="D11">
        <v>2367.2600000000002</v>
      </c>
      <c r="E11">
        <v>2339.08</v>
      </c>
      <c r="F11">
        <v>2363.1799999999998</v>
      </c>
      <c r="G11">
        <v>2364.67</v>
      </c>
      <c r="H11">
        <v>151542</v>
      </c>
      <c r="I11" s="2">
        <v>5.0000000000000001E-3</v>
      </c>
      <c r="J11">
        <v>1825.6980000000001</v>
      </c>
      <c r="K11">
        <v>11.8</v>
      </c>
      <c r="L11" t="s">
        <v>12</v>
      </c>
    </row>
    <row r="12" spans="1:12" x14ac:dyDescent="0.25">
      <c r="A12" s="1">
        <v>45727</v>
      </c>
      <c r="B12" t="s">
        <v>11</v>
      </c>
      <c r="C12">
        <v>2883.31</v>
      </c>
      <c r="D12">
        <v>2891.04</v>
      </c>
      <c r="E12">
        <v>2875.56</v>
      </c>
      <c r="F12">
        <v>2886.01</v>
      </c>
      <c r="G12">
        <v>2885.23</v>
      </c>
      <c r="H12">
        <v>284736</v>
      </c>
      <c r="I12" s="2">
        <v>8.9999999999999998E-4</v>
      </c>
      <c r="J12">
        <v>1826.5260000000001</v>
      </c>
      <c r="K12">
        <v>2.7</v>
      </c>
      <c r="L12" t="s">
        <v>12</v>
      </c>
    </row>
    <row r="13" spans="1:12" x14ac:dyDescent="0.25">
      <c r="A13" s="1">
        <v>45727</v>
      </c>
      <c r="B13" t="s">
        <v>13</v>
      </c>
      <c r="C13">
        <v>1251.47</v>
      </c>
      <c r="D13">
        <v>1262.45</v>
      </c>
      <c r="E13">
        <v>1237.23</v>
      </c>
      <c r="F13">
        <v>1243.5999999999999</v>
      </c>
      <c r="G13">
        <v>1244.1400000000001</v>
      </c>
      <c r="H13">
        <v>250957</v>
      </c>
      <c r="I13" s="2">
        <v>-6.3E-3</v>
      </c>
      <c r="J13">
        <v>1822.1679999999999</v>
      </c>
      <c r="K13">
        <v>-7.87</v>
      </c>
      <c r="L13" t="s">
        <v>14</v>
      </c>
    </row>
    <row r="14" spans="1:12" x14ac:dyDescent="0.25">
      <c r="A14" s="1">
        <v>45727</v>
      </c>
      <c r="B14" t="s">
        <v>15</v>
      </c>
      <c r="C14">
        <v>1950.23</v>
      </c>
      <c r="D14">
        <v>1957.79</v>
      </c>
      <c r="E14">
        <v>1935.2</v>
      </c>
      <c r="F14">
        <v>1950.27</v>
      </c>
      <c r="G14">
        <v>1951.99</v>
      </c>
      <c r="H14">
        <v>204247</v>
      </c>
      <c r="I14" s="2">
        <v>0</v>
      </c>
      <c r="J14">
        <v>1823.71</v>
      </c>
      <c r="K14">
        <v>0.04</v>
      </c>
      <c r="L14" t="s">
        <v>12</v>
      </c>
    </row>
    <row r="15" spans="1:12" x14ac:dyDescent="0.25">
      <c r="A15" s="1">
        <v>45727</v>
      </c>
      <c r="B15" t="s">
        <v>16</v>
      </c>
      <c r="C15">
        <v>687.3</v>
      </c>
      <c r="D15">
        <v>695.01</v>
      </c>
      <c r="E15">
        <v>673.78</v>
      </c>
      <c r="F15">
        <v>685.43</v>
      </c>
      <c r="G15">
        <v>687.09</v>
      </c>
      <c r="H15">
        <v>342063</v>
      </c>
      <c r="I15" s="2">
        <v>-2.7000000000000001E-3</v>
      </c>
      <c r="J15">
        <v>1829.828</v>
      </c>
      <c r="K15">
        <v>-1.87</v>
      </c>
      <c r="L15" t="s">
        <v>14</v>
      </c>
    </row>
    <row r="16" spans="1:12" x14ac:dyDescent="0.25">
      <c r="A16" s="1">
        <v>45727</v>
      </c>
      <c r="B16" t="s">
        <v>17</v>
      </c>
      <c r="C16">
        <v>2365.27</v>
      </c>
      <c r="D16">
        <v>2374.42</v>
      </c>
      <c r="E16">
        <v>2351.38</v>
      </c>
      <c r="F16">
        <v>2367.3200000000002</v>
      </c>
      <c r="G16">
        <v>2368.9699999999998</v>
      </c>
      <c r="H16">
        <v>305545</v>
      </c>
      <c r="I16" s="2">
        <v>8.9999999999999998E-4</v>
      </c>
      <c r="J16">
        <v>1830.0640000000001</v>
      </c>
      <c r="K16">
        <v>2.0499999999999998</v>
      </c>
      <c r="L16" t="s">
        <v>12</v>
      </c>
    </row>
    <row r="17" spans="1:12" x14ac:dyDescent="0.25">
      <c r="A17" s="1">
        <v>45728</v>
      </c>
      <c r="B17" t="s">
        <v>11</v>
      </c>
      <c r="C17">
        <v>2861.87</v>
      </c>
      <c r="D17">
        <v>2871.24</v>
      </c>
      <c r="E17">
        <v>2847.69</v>
      </c>
      <c r="F17">
        <v>2864.22</v>
      </c>
      <c r="G17">
        <v>2862.78</v>
      </c>
      <c r="H17">
        <v>488073</v>
      </c>
      <c r="I17" s="2">
        <v>8.0000000000000004E-4</v>
      </c>
      <c r="J17">
        <v>1829.66</v>
      </c>
      <c r="K17">
        <v>2.35</v>
      </c>
      <c r="L17" t="s">
        <v>12</v>
      </c>
    </row>
    <row r="18" spans="1:12" x14ac:dyDescent="0.25">
      <c r="A18" s="1">
        <v>45728</v>
      </c>
      <c r="B18" t="s">
        <v>13</v>
      </c>
      <c r="C18">
        <v>1252.72</v>
      </c>
      <c r="D18">
        <v>1267.1099999999999</v>
      </c>
      <c r="E18">
        <v>1240.17</v>
      </c>
      <c r="F18">
        <v>1251.31</v>
      </c>
      <c r="G18">
        <v>1252.74</v>
      </c>
      <c r="H18">
        <v>474764</v>
      </c>
      <c r="I18" s="2">
        <v>-1.1000000000000001E-3</v>
      </c>
      <c r="J18">
        <v>1830.694</v>
      </c>
      <c r="K18">
        <v>-1.41</v>
      </c>
      <c r="L18" t="s">
        <v>14</v>
      </c>
    </row>
    <row r="19" spans="1:12" x14ac:dyDescent="0.25">
      <c r="A19" s="1">
        <v>45728</v>
      </c>
      <c r="B19" t="s">
        <v>15</v>
      </c>
      <c r="C19">
        <v>1976.43</v>
      </c>
      <c r="D19">
        <v>1985.63</v>
      </c>
      <c r="E19">
        <v>1959.89</v>
      </c>
      <c r="F19">
        <v>1980.86</v>
      </c>
      <c r="G19">
        <v>1979.61</v>
      </c>
      <c r="H19">
        <v>340506</v>
      </c>
      <c r="I19" s="2">
        <v>2.2000000000000001E-3</v>
      </c>
      <c r="J19">
        <v>1828.8720000000001</v>
      </c>
      <c r="K19">
        <v>4.43</v>
      </c>
      <c r="L19" t="s">
        <v>12</v>
      </c>
    </row>
    <row r="20" spans="1:12" x14ac:dyDescent="0.25">
      <c r="A20" s="1">
        <v>45728</v>
      </c>
      <c r="B20" t="s">
        <v>16</v>
      </c>
      <c r="C20">
        <v>687.47</v>
      </c>
      <c r="D20">
        <v>707.04</v>
      </c>
      <c r="E20">
        <v>668.31</v>
      </c>
      <c r="F20">
        <v>686.61</v>
      </c>
      <c r="G20">
        <v>686.51</v>
      </c>
      <c r="H20">
        <v>316105</v>
      </c>
      <c r="I20" s="2">
        <v>-1.2999999999999999E-3</v>
      </c>
      <c r="J20">
        <v>1820.9659999999999</v>
      </c>
      <c r="K20">
        <v>-0.86</v>
      </c>
      <c r="L20" t="s">
        <v>14</v>
      </c>
    </row>
    <row r="21" spans="1:12" x14ac:dyDescent="0.25">
      <c r="A21" s="1">
        <v>45728</v>
      </c>
      <c r="B21" t="s">
        <v>17</v>
      </c>
      <c r="C21">
        <v>2372.33</v>
      </c>
      <c r="D21">
        <v>2386.8000000000002</v>
      </c>
      <c r="E21">
        <v>2356.33</v>
      </c>
      <c r="F21">
        <v>2365.3000000000002</v>
      </c>
      <c r="G21">
        <v>2363.83</v>
      </c>
      <c r="H21">
        <v>227627</v>
      </c>
      <c r="I21" s="2">
        <v>-3.0000000000000001E-3</v>
      </c>
      <c r="J21">
        <v>1819.566</v>
      </c>
      <c r="K21">
        <v>-7.03</v>
      </c>
      <c r="L21" t="s">
        <v>14</v>
      </c>
    </row>
    <row r="22" spans="1:12" x14ac:dyDescent="0.25">
      <c r="A22" s="1">
        <v>45729</v>
      </c>
      <c r="B22" t="s">
        <v>11</v>
      </c>
      <c r="C22">
        <v>2878.92</v>
      </c>
      <c r="D22">
        <v>2890.76</v>
      </c>
      <c r="E22">
        <v>2862.14</v>
      </c>
      <c r="F22">
        <v>2869.39</v>
      </c>
      <c r="G22">
        <v>2868.19</v>
      </c>
      <c r="H22">
        <v>390916</v>
      </c>
      <c r="I22" s="2">
        <v>-3.3E-3</v>
      </c>
      <c r="J22">
        <v>1821.068</v>
      </c>
      <c r="K22">
        <v>-9.5299999999999994</v>
      </c>
      <c r="L22" t="s">
        <v>14</v>
      </c>
    </row>
    <row r="23" spans="1:12" x14ac:dyDescent="0.25">
      <c r="A23" s="1">
        <v>45729</v>
      </c>
      <c r="B23" t="s">
        <v>13</v>
      </c>
      <c r="C23">
        <v>1244.18</v>
      </c>
      <c r="D23">
        <v>1250.24</v>
      </c>
      <c r="E23">
        <v>1229.54</v>
      </c>
      <c r="F23">
        <v>1242.2</v>
      </c>
      <c r="G23">
        <v>1240.31</v>
      </c>
      <c r="H23">
        <v>180880</v>
      </c>
      <c r="I23" s="2">
        <v>-1.6000000000000001E-3</v>
      </c>
      <c r="J23">
        <v>1829.462</v>
      </c>
      <c r="K23">
        <v>-1.98</v>
      </c>
      <c r="L23" t="s">
        <v>14</v>
      </c>
    </row>
    <row r="24" spans="1:12" x14ac:dyDescent="0.25">
      <c r="A24" s="1">
        <v>45729</v>
      </c>
      <c r="B24" t="s">
        <v>15</v>
      </c>
      <c r="C24">
        <v>1948.37</v>
      </c>
      <c r="D24">
        <v>1960.98</v>
      </c>
      <c r="E24">
        <v>1939.73</v>
      </c>
      <c r="F24">
        <v>1941.33</v>
      </c>
      <c r="G24">
        <v>1939.79</v>
      </c>
      <c r="H24">
        <v>269412</v>
      </c>
      <c r="I24" s="2">
        <v>-3.5999999999999999E-3</v>
      </c>
      <c r="J24">
        <v>1833.5239999999999</v>
      </c>
      <c r="K24">
        <v>-7.04</v>
      </c>
      <c r="L24" t="s">
        <v>14</v>
      </c>
    </row>
    <row r="25" spans="1:12" x14ac:dyDescent="0.25">
      <c r="A25" s="1">
        <v>45729</v>
      </c>
      <c r="B25" t="s">
        <v>16</v>
      </c>
      <c r="C25">
        <v>683.28</v>
      </c>
      <c r="D25">
        <v>693.07</v>
      </c>
      <c r="E25">
        <v>665.85</v>
      </c>
      <c r="F25">
        <v>679.61</v>
      </c>
      <c r="G25">
        <v>677.76</v>
      </c>
      <c r="H25">
        <v>240741</v>
      </c>
      <c r="I25" s="2">
        <v>-5.4000000000000003E-3</v>
      </c>
      <c r="J25">
        <v>1834.848</v>
      </c>
      <c r="K25">
        <v>-3.67</v>
      </c>
      <c r="L25" t="s">
        <v>14</v>
      </c>
    </row>
    <row r="26" spans="1:12" x14ac:dyDescent="0.25">
      <c r="A26" s="1">
        <v>45729</v>
      </c>
      <c r="B26" t="s">
        <v>17</v>
      </c>
      <c r="C26">
        <v>2371.94</v>
      </c>
      <c r="D26">
        <v>2379.64</v>
      </c>
      <c r="E26">
        <v>2363.38</v>
      </c>
      <c r="F26">
        <v>2372.81</v>
      </c>
      <c r="G26">
        <v>2374.6999999999998</v>
      </c>
      <c r="H26">
        <v>482417</v>
      </c>
      <c r="I26" s="2">
        <v>4.0000000000000002E-4</v>
      </c>
      <c r="J26">
        <v>1833.2840000000001</v>
      </c>
      <c r="K26">
        <v>0.87</v>
      </c>
      <c r="L26" t="s">
        <v>12</v>
      </c>
    </row>
    <row r="27" spans="1:12" x14ac:dyDescent="0.25">
      <c r="A27" s="1">
        <v>45730</v>
      </c>
      <c r="B27" t="s">
        <v>11</v>
      </c>
      <c r="C27">
        <v>2913.59</v>
      </c>
      <c r="D27">
        <v>2919.29</v>
      </c>
      <c r="E27">
        <v>2899.48</v>
      </c>
      <c r="F27">
        <v>2911.36</v>
      </c>
      <c r="G27">
        <v>2910.04</v>
      </c>
      <c r="H27">
        <v>130980</v>
      </c>
      <c r="I27" s="2">
        <v>-8.0000000000000004E-4</v>
      </c>
      <c r="J27">
        <v>1832.846</v>
      </c>
      <c r="K27">
        <v>-2.23</v>
      </c>
      <c r="L27" t="s">
        <v>14</v>
      </c>
    </row>
    <row r="28" spans="1:12" x14ac:dyDescent="0.25">
      <c r="A28" s="1">
        <v>45730</v>
      </c>
      <c r="B28" t="s">
        <v>13</v>
      </c>
      <c r="C28">
        <v>1260.47</v>
      </c>
      <c r="D28">
        <v>1274.0999999999999</v>
      </c>
      <c r="E28">
        <v>1249.6500000000001</v>
      </c>
      <c r="F28">
        <v>1262.51</v>
      </c>
      <c r="G28">
        <v>1263.08</v>
      </c>
      <c r="H28">
        <v>188539</v>
      </c>
      <c r="I28" s="2">
        <v>1.6000000000000001E-3</v>
      </c>
      <c r="J28">
        <v>1827.046</v>
      </c>
      <c r="K28">
        <v>2.04</v>
      </c>
      <c r="L28" t="s">
        <v>12</v>
      </c>
    </row>
    <row r="29" spans="1:12" x14ac:dyDescent="0.25">
      <c r="A29" s="1">
        <v>45730</v>
      </c>
      <c r="B29" t="s">
        <v>15</v>
      </c>
      <c r="C29">
        <v>1940.76</v>
      </c>
      <c r="D29">
        <v>1954.48</v>
      </c>
      <c r="E29">
        <v>1933.44</v>
      </c>
      <c r="F29">
        <v>1947.95</v>
      </c>
      <c r="G29">
        <v>1947.87</v>
      </c>
      <c r="H29">
        <v>171024</v>
      </c>
      <c r="I29" s="2">
        <v>3.7000000000000002E-3</v>
      </c>
      <c r="J29">
        <v>1828.49</v>
      </c>
      <c r="K29">
        <v>7.19</v>
      </c>
      <c r="L29" t="s">
        <v>12</v>
      </c>
    </row>
    <row r="30" spans="1:12" x14ac:dyDescent="0.25">
      <c r="A30" s="1">
        <v>45730</v>
      </c>
      <c r="B30" t="s">
        <v>16</v>
      </c>
      <c r="C30">
        <v>668.95</v>
      </c>
      <c r="D30">
        <v>675.76</v>
      </c>
      <c r="E30">
        <v>662.8</v>
      </c>
      <c r="F30">
        <v>671.79</v>
      </c>
      <c r="G30">
        <v>672.58</v>
      </c>
      <c r="H30">
        <v>445061</v>
      </c>
      <c r="I30" s="2">
        <v>4.1999999999999997E-3</v>
      </c>
      <c r="J30">
        <v>1829.146</v>
      </c>
      <c r="K30">
        <v>2.84</v>
      </c>
      <c r="L30" t="s">
        <v>12</v>
      </c>
    </row>
    <row r="31" spans="1:12" x14ac:dyDescent="0.25">
      <c r="A31" s="1">
        <v>45730</v>
      </c>
      <c r="B31" t="s">
        <v>17</v>
      </c>
      <c r="C31">
        <v>2370.2399999999998</v>
      </c>
      <c r="D31">
        <v>2382.62</v>
      </c>
      <c r="E31">
        <v>2361.5300000000002</v>
      </c>
      <c r="F31">
        <v>2370.62</v>
      </c>
      <c r="G31">
        <v>2372.1</v>
      </c>
      <c r="H31">
        <v>419364</v>
      </c>
      <c r="I31" s="2">
        <v>2.0000000000000001E-4</v>
      </c>
      <c r="J31">
        <v>1832.63</v>
      </c>
      <c r="K31">
        <v>0.38</v>
      </c>
      <c r="L31" t="s">
        <v>12</v>
      </c>
    </row>
    <row r="32" spans="1:12" x14ac:dyDescent="0.25">
      <c r="A32" s="1">
        <v>45733</v>
      </c>
      <c r="B32" t="s">
        <v>11</v>
      </c>
      <c r="C32">
        <v>2881.99</v>
      </c>
      <c r="D32">
        <v>2897.25</v>
      </c>
      <c r="E32">
        <v>2870.39</v>
      </c>
      <c r="F32">
        <v>2882.36</v>
      </c>
      <c r="G32">
        <v>2880.85</v>
      </c>
      <c r="H32">
        <v>424017</v>
      </c>
      <c r="I32" s="2">
        <v>1E-4</v>
      </c>
      <c r="J32">
        <v>1830.252</v>
      </c>
      <c r="K32">
        <v>0.37</v>
      </c>
      <c r="L32" t="s">
        <v>12</v>
      </c>
    </row>
    <row r="33" spans="1:12" x14ac:dyDescent="0.25">
      <c r="A33" s="1">
        <v>45733</v>
      </c>
      <c r="B33" t="s">
        <v>13</v>
      </c>
      <c r="C33">
        <v>1275.33</v>
      </c>
      <c r="D33">
        <v>1294.45</v>
      </c>
      <c r="E33">
        <v>1264.54</v>
      </c>
      <c r="F33">
        <v>1269.73</v>
      </c>
      <c r="G33">
        <v>1271.57</v>
      </c>
      <c r="H33">
        <v>277740</v>
      </c>
      <c r="I33" s="2">
        <v>-4.4000000000000003E-3</v>
      </c>
      <c r="J33">
        <v>1831.2819999999999</v>
      </c>
      <c r="K33">
        <v>-5.6</v>
      </c>
      <c r="L33" t="s">
        <v>14</v>
      </c>
    </row>
    <row r="34" spans="1:12" x14ac:dyDescent="0.25">
      <c r="A34" s="1">
        <v>45733</v>
      </c>
      <c r="B34" t="s">
        <v>15</v>
      </c>
      <c r="C34">
        <v>1949.48</v>
      </c>
      <c r="D34">
        <v>1959.53</v>
      </c>
      <c r="E34">
        <v>1942.46</v>
      </c>
      <c r="F34">
        <v>1951.23</v>
      </c>
      <c r="G34">
        <v>1949.48</v>
      </c>
      <c r="H34">
        <v>378755</v>
      </c>
      <c r="I34" s="2">
        <v>8.9999999999999998E-4</v>
      </c>
      <c r="J34">
        <v>1826.5820000000001</v>
      </c>
      <c r="K34">
        <v>1.75</v>
      </c>
      <c r="L34" t="s">
        <v>12</v>
      </c>
    </row>
    <row r="35" spans="1:12" x14ac:dyDescent="0.25">
      <c r="A35" s="1">
        <v>45733</v>
      </c>
      <c r="B35" t="s">
        <v>16</v>
      </c>
      <c r="C35">
        <v>695.56</v>
      </c>
      <c r="D35">
        <v>701.54</v>
      </c>
      <c r="E35">
        <v>685.83</v>
      </c>
      <c r="F35">
        <v>689.21</v>
      </c>
      <c r="G35">
        <v>689.37</v>
      </c>
      <c r="H35">
        <v>150185</v>
      </c>
      <c r="I35" s="2">
        <v>-9.1000000000000004E-3</v>
      </c>
      <c r="J35">
        <v>1826.9739999999999</v>
      </c>
      <c r="K35">
        <v>-6.35</v>
      </c>
      <c r="L35" t="s">
        <v>14</v>
      </c>
    </row>
    <row r="36" spans="1:12" x14ac:dyDescent="0.25">
      <c r="A36" s="1">
        <v>45733</v>
      </c>
      <c r="B36" t="s">
        <v>17</v>
      </c>
      <c r="C36">
        <v>2374.7199999999998</v>
      </c>
      <c r="D36">
        <v>2385.11</v>
      </c>
      <c r="E36">
        <v>2360.83</v>
      </c>
      <c r="F36">
        <v>2358.73</v>
      </c>
      <c r="G36">
        <v>2357.38</v>
      </c>
      <c r="H36">
        <v>223269</v>
      </c>
      <c r="I36" s="2">
        <v>-6.7000000000000002E-3</v>
      </c>
      <c r="J36">
        <v>1825.0840000000001</v>
      </c>
      <c r="K36">
        <v>-15.99</v>
      </c>
      <c r="L36" t="s">
        <v>14</v>
      </c>
    </row>
    <row r="37" spans="1:12" x14ac:dyDescent="0.25">
      <c r="A37" s="1">
        <v>45734</v>
      </c>
      <c r="B37" t="s">
        <v>11</v>
      </c>
      <c r="C37">
        <v>2882.66</v>
      </c>
      <c r="D37">
        <v>2901.3</v>
      </c>
      <c r="E37">
        <v>2873.78</v>
      </c>
      <c r="F37">
        <v>2887.51</v>
      </c>
      <c r="G37">
        <v>2888.16</v>
      </c>
      <c r="H37">
        <v>124549</v>
      </c>
      <c r="I37" s="2">
        <v>1.6999999999999999E-3</v>
      </c>
      <c r="J37">
        <v>1826.8019999999999</v>
      </c>
      <c r="K37">
        <v>4.8499999999999996</v>
      </c>
      <c r="L37" t="s">
        <v>12</v>
      </c>
    </row>
    <row r="38" spans="1:12" x14ac:dyDescent="0.25">
      <c r="A38" s="1">
        <v>45734</v>
      </c>
      <c r="B38" t="s">
        <v>13</v>
      </c>
      <c r="C38">
        <v>1249.1400000000001</v>
      </c>
      <c r="D38">
        <v>1258.92</v>
      </c>
      <c r="E38">
        <v>1231.47</v>
      </c>
      <c r="F38">
        <v>1246.23</v>
      </c>
      <c r="G38">
        <v>1244.32</v>
      </c>
      <c r="H38">
        <v>421733</v>
      </c>
      <c r="I38" s="2">
        <v>-2.3E-3</v>
      </c>
      <c r="J38">
        <v>1825.902</v>
      </c>
      <c r="K38">
        <v>-2.91</v>
      </c>
      <c r="L38" t="s">
        <v>14</v>
      </c>
    </row>
    <row r="39" spans="1:12" x14ac:dyDescent="0.25">
      <c r="A39" s="1">
        <v>45734</v>
      </c>
      <c r="B39" t="s">
        <v>15</v>
      </c>
      <c r="C39">
        <v>1949.98</v>
      </c>
      <c r="D39">
        <v>1965.2</v>
      </c>
      <c r="E39">
        <v>1933.58</v>
      </c>
      <c r="F39">
        <v>1953.19</v>
      </c>
      <c r="G39">
        <v>1953.57</v>
      </c>
      <c r="H39">
        <v>318892</v>
      </c>
      <c r="I39" s="2">
        <v>1.6000000000000001E-3</v>
      </c>
      <c r="J39">
        <v>1826.26</v>
      </c>
      <c r="K39">
        <v>3.21</v>
      </c>
      <c r="L39" t="s">
        <v>12</v>
      </c>
    </row>
    <row r="40" spans="1:12" x14ac:dyDescent="0.25">
      <c r="A40" s="1">
        <v>45734</v>
      </c>
      <c r="B40" t="s">
        <v>16</v>
      </c>
      <c r="C40">
        <v>676.49</v>
      </c>
      <c r="D40">
        <v>690.88</v>
      </c>
      <c r="E40">
        <v>658.2</v>
      </c>
      <c r="F40">
        <v>679.76</v>
      </c>
      <c r="G40">
        <v>680.22</v>
      </c>
      <c r="H40">
        <v>385644</v>
      </c>
      <c r="I40" s="2">
        <v>4.7999999999999996E-3</v>
      </c>
      <c r="J40">
        <v>1820.21</v>
      </c>
      <c r="K40">
        <v>3.27</v>
      </c>
      <c r="L40" t="s">
        <v>12</v>
      </c>
    </row>
    <row r="41" spans="1:12" x14ac:dyDescent="0.25">
      <c r="A41" s="1">
        <v>45734</v>
      </c>
      <c r="B41" t="s">
        <v>17</v>
      </c>
      <c r="C41">
        <v>2370.7399999999998</v>
      </c>
      <c r="D41">
        <v>2379.61</v>
      </c>
      <c r="E41">
        <v>2355.89</v>
      </c>
      <c r="F41">
        <v>2367.3200000000002</v>
      </c>
      <c r="G41">
        <v>2366.62</v>
      </c>
      <c r="H41">
        <v>353520</v>
      </c>
      <c r="I41" s="2">
        <v>-1.4E-3</v>
      </c>
      <c r="J41">
        <v>1822.298</v>
      </c>
      <c r="K41">
        <v>-3.42</v>
      </c>
      <c r="L41" t="s">
        <v>14</v>
      </c>
    </row>
    <row r="42" spans="1:12" x14ac:dyDescent="0.25">
      <c r="A42" s="1">
        <v>45735</v>
      </c>
      <c r="B42" t="s">
        <v>11</v>
      </c>
      <c r="C42">
        <v>2890.09</v>
      </c>
      <c r="D42">
        <v>2903.29</v>
      </c>
      <c r="E42">
        <v>2882.32</v>
      </c>
      <c r="F42">
        <v>2883.01</v>
      </c>
      <c r="G42">
        <v>2884.89</v>
      </c>
      <c r="H42">
        <v>237271</v>
      </c>
      <c r="I42" s="2">
        <v>-2.3999999999999998E-3</v>
      </c>
      <c r="J42">
        <v>1822.4179999999999</v>
      </c>
      <c r="K42">
        <v>-7.08</v>
      </c>
      <c r="L42" t="s">
        <v>14</v>
      </c>
    </row>
    <row r="43" spans="1:12" x14ac:dyDescent="0.25">
      <c r="A43" s="1">
        <v>45735</v>
      </c>
      <c r="B43" t="s">
        <v>13</v>
      </c>
      <c r="C43">
        <v>1248.1099999999999</v>
      </c>
      <c r="D43">
        <v>1254.8800000000001</v>
      </c>
      <c r="E43">
        <v>1232.6600000000001</v>
      </c>
      <c r="F43">
        <v>1248.02</v>
      </c>
      <c r="G43">
        <v>1248.54</v>
      </c>
      <c r="H43">
        <v>110013</v>
      </c>
      <c r="I43" s="2">
        <v>-1E-4</v>
      </c>
      <c r="J43">
        <v>1825.9860000000001</v>
      </c>
      <c r="K43">
        <v>-0.09</v>
      </c>
      <c r="L43" t="s">
        <v>14</v>
      </c>
    </row>
    <row r="44" spans="1:12" x14ac:dyDescent="0.25">
      <c r="A44" s="1">
        <v>45735</v>
      </c>
      <c r="B44" t="s">
        <v>15</v>
      </c>
      <c r="C44">
        <v>1931.28</v>
      </c>
      <c r="D44">
        <v>1941.51</v>
      </c>
      <c r="E44">
        <v>1912.34</v>
      </c>
      <c r="F44">
        <v>1922.94</v>
      </c>
      <c r="G44">
        <v>1924.26</v>
      </c>
      <c r="H44">
        <v>142690</v>
      </c>
      <c r="I44" s="2">
        <v>-4.3E-3</v>
      </c>
      <c r="J44">
        <v>1829.27</v>
      </c>
      <c r="K44">
        <v>-8.34</v>
      </c>
      <c r="L44" t="s">
        <v>14</v>
      </c>
    </row>
    <row r="45" spans="1:12" x14ac:dyDescent="0.25">
      <c r="A45" s="1">
        <v>45735</v>
      </c>
      <c r="B45" t="s">
        <v>16</v>
      </c>
      <c r="C45">
        <v>683.82</v>
      </c>
      <c r="D45">
        <v>702.91</v>
      </c>
      <c r="E45">
        <v>666.84</v>
      </c>
      <c r="F45">
        <v>690.2</v>
      </c>
      <c r="G45">
        <v>692.19</v>
      </c>
      <c r="H45">
        <v>195731</v>
      </c>
      <c r="I45" s="2">
        <v>9.2999999999999992E-3</v>
      </c>
      <c r="J45">
        <v>1836.4839999999999</v>
      </c>
      <c r="K45">
        <v>6.38</v>
      </c>
      <c r="L45" t="s">
        <v>12</v>
      </c>
    </row>
    <row r="46" spans="1:12" x14ac:dyDescent="0.25">
      <c r="A46" s="1">
        <v>45735</v>
      </c>
      <c r="B46" t="s">
        <v>17</v>
      </c>
      <c r="C46">
        <v>2362.3200000000002</v>
      </c>
      <c r="D46">
        <v>2381.87</v>
      </c>
      <c r="E46">
        <v>2350.5100000000002</v>
      </c>
      <c r="F46">
        <v>2367.92</v>
      </c>
      <c r="G46">
        <v>2366.86</v>
      </c>
      <c r="H46">
        <v>107274</v>
      </c>
      <c r="I46" s="2">
        <v>2.3999999999999998E-3</v>
      </c>
      <c r="J46">
        <v>1836.69</v>
      </c>
      <c r="K46">
        <v>5.6</v>
      </c>
      <c r="L46" t="s">
        <v>12</v>
      </c>
    </row>
    <row r="47" spans="1:12" x14ac:dyDescent="0.25">
      <c r="A47" s="1">
        <v>45736</v>
      </c>
      <c r="B47" t="s">
        <v>11</v>
      </c>
      <c r="C47">
        <v>2890.19</v>
      </c>
      <c r="D47">
        <v>2909.02</v>
      </c>
      <c r="E47">
        <v>2883.86</v>
      </c>
      <c r="F47">
        <v>2900.85</v>
      </c>
      <c r="G47">
        <v>2899.63</v>
      </c>
      <c r="H47">
        <v>447443</v>
      </c>
      <c r="I47" s="2">
        <v>3.7000000000000002E-3</v>
      </c>
      <c r="J47">
        <v>1833.1679999999999</v>
      </c>
      <c r="K47">
        <v>10.66</v>
      </c>
      <c r="L47" t="s">
        <v>12</v>
      </c>
    </row>
    <row r="48" spans="1:12" x14ac:dyDescent="0.25">
      <c r="A48" s="1">
        <v>45736</v>
      </c>
      <c r="B48" t="s">
        <v>13</v>
      </c>
      <c r="C48">
        <v>1257.6199999999999</v>
      </c>
      <c r="D48">
        <v>1274.67</v>
      </c>
      <c r="E48">
        <v>1248.3900000000001</v>
      </c>
      <c r="F48">
        <v>1264.44</v>
      </c>
      <c r="G48">
        <v>1263.1500000000001</v>
      </c>
      <c r="H48">
        <v>312666</v>
      </c>
      <c r="I48" s="2">
        <v>5.4000000000000003E-3</v>
      </c>
      <c r="J48">
        <v>1830.24</v>
      </c>
      <c r="K48">
        <v>6.82</v>
      </c>
      <c r="L48" t="s">
        <v>12</v>
      </c>
    </row>
    <row r="49" spans="1:12" x14ac:dyDescent="0.25">
      <c r="A49" s="1">
        <v>45736</v>
      </c>
      <c r="B49" t="s">
        <v>15</v>
      </c>
      <c r="C49">
        <v>1957.7</v>
      </c>
      <c r="D49">
        <v>1965.42</v>
      </c>
      <c r="E49">
        <v>1951.7</v>
      </c>
      <c r="F49">
        <v>1959.01</v>
      </c>
      <c r="G49">
        <v>1959.97</v>
      </c>
      <c r="H49">
        <v>477610</v>
      </c>
      <c r="I49" s="2">
        <v>6.9999999999999999E-4</v>
      </c>
      <c r="J49">
        <v>1831.124</v>
      </c>
      <c r="K49">
        <v>1.31</v>
      </c>
      <c r="L49" t="s">
        <v>12</v>
      </c>
    </row>
    <row r="50" spans="1:12" x14ac:dyDescent="0.25">
      <c r="A50" s="1">
        <v>45736</v>
      </c>
      <c r="B50" t="s">
        <v>16</v>
      </c>
      <c r="C50">
        <v>695.23</v>
      </c>
      <c r="D50">
        <v>706.26</v>
      </c>
      <c r="E50">
        <v>683.03</v>
      </c>
      <c r="F50">
        <v>691.23</v>
      </c>
      <c r="G50">
        <v>691.74</v>
      </c>
      <c r="H50">
        <v>468353</v>
      </c>
      <c r="I50" s="2">
        <v>-5.7999999999999996E-3</v>
      </c>
      <c r="J50">
        <v>1832.13</v>
      </c>
      <c r="K50">
        <v>-4</v>
      </c>
      <c r="L50" t="s">
        <v>14</v>
      </c>
    </row>
    <row r="51" spans="1:12" x14ac:dyDescent="0.25">
      <c r="A51" s="1">
        <v>45736</v>
      </c>
      <c r="B51" t="s">
        <v>17</v>
      </c>
      <c r="C51">
        <v>2346.0500000000002</v>
      </c>
      <c r="D51">
        <v>2363.48</v>
      </c>
      <c r="E51">
        <v>2334.59</v>
      </c>
      <c r="F51">
        <v>2350.31</v>
      </c>
      <c r="G51">
        <v>2349.3000000000002</v>
      </c>
      <c r="H51">
        <v>387362</v>
      </c>
      <c r="I51" s="2">
        <v>1.8E-3</v>
      </c>
      <c r="J51">
        <v>1830.5719999999999</v>
      </c>
      <c r="K51">
        <v>4.26</v>
      </c>
      <c r="L51" t="s">
        <v>12</v>
      </c>
    </row>
    <row r="52" spans="1:12" x14ac:dyDescent="0.25">
      <c r="A52" s="1">
        <v>45737</v>
      </c>
      <c r="B52" t="s">
        <v>11</v>
      </c>
      <c r="C52">
        <v>2886.84</v>
      </c>
      <c r="D52">
        <v>2897.67</v>
      </c>
      <c r="E52">
        <v>2877.77</v>
      </c>
      <c r="F52">
        <v>2886.21</v>
      </c>
      <c r="G52">
        <v>2887.52</v>
      </c>
      <c r="H52">
        <v>454936</v>
      </c>
      <c r="I52" s="2">
        <v>-2.0000000000000001E-4</v>
      </c>
      <c r="J52">
        <v>1837.7619999999999</v>
      </c>
      <c r="K52">
        <v>-0.63</v>
      </c>
      <c r="L52" t="s">
        <v>14</v>
      </c>
    </row>
    <row r="53" spans="1:12" x14ac:dyDescent="0.25">
      <c r="A53" s="1">
        <v>45737</v>
      </c>
      <c r="B53" t="s">
        <v>13</v>
      </c>
      <c r="C53">
        <v>1261.47</v>
      </c>
      <c r="D53">
        <v>1281.33</v>
      </c>
      <c r="E53">
        <v>1250.28</v>
      </c>
      <c r="F53">
        <v>1268.8599999999999</v>
      </c>
      <c r="G53">
        <v>1268.3499999999999</v>
      </c>
      <c r="H53">
        <v>420650</v>
      </c>
      <c r="I53" s="2">
        <v>5.8999999999999999E-3</v>
      </c>
      <c r="J53">
        <v>1835.1479999999999</v>
      </c>
      <c r="K53">
        <v>7.39</v>
      </c>
      <c r="L53" t="s">
        <v>12</v>
      </c>
    </row>
    <row r="54" spans="1:12" x14ac:dyDescent="0.25">
      <c r="A54" s="1">
        <v>45737</v>
      </c>
      <c r="B54" t="s">
        <v>15</v>
      </c>
      <c r="C54">
        <v>1967.68</v>
      </c>
      <c r="D54">
        <v>1974.78</v>
      </c>
      <c r="E54">
        <v>1950.75</v>
      </c>
      <c r="F54">
        <v>1964.04</v>
      </c>
      <c r="G54">
        <v>1962.85</v>
      </c>
      <c r="H54">
        <v>189681</v>
      </c>
      <c r="I54" s="2">
        <v>-1.8E-3</v>
      </c>
      <c r="J54">
        <v>1832.1079999999999</v>
      </c>
      <c r="K54">
        <v>-3.64</v>
      </c>
      <c r="L54" t="s">
        <v>14</v>
      </c>
    </row>
    <row r="55" spans="1:12" x14ac:dyDescent="0.25">
      <c r="A55" s="1">
        <v>45737</v>
      </c>
      <c r="B55" t="s">
        <v>16</v>
      </c>
      <c r="C55">
        <v>678.54</v>
      </c>
      <c r="D55">
        <v>689.86</v>
      </c>
      <c r="E55">
        <v>662.48</v>
      </c>
      <c r="F55">
        <v>683.44</v>
      </c>
      <c r="G55">
        <v>682.4</v>
      </c>
      <c r="H55">
        <v>460010</v>
      </c>
      <c r="I55" s="2">
        <v>7.1999999999999998E-3</v>
      </c>
      <c r="J55">
        <v>1829.768</v>
      </c>
      <c r="K55">
        <v>4.9000000000000004</v>
      </c>
      <c r="L55" t="s">
        <v>12</v>
      </c>
    </row>
    <row r="56" spans="1:12" x14ac:dyDescent="0.25">
      <c r="A56" s="1">
        <v>45737</v>
      </c>
      <c r="B56" t="s">
        <v>17</v>
      </c>
      <c r="C56">
        <v>2382.0100000000002</v>
      </c>
      <c r="D56">
        <v>2389.52</v>
      </c>
      <c r="E56">
        <v>2374.5</v>
      </c>
      <c r="F56">
        <v>2386.2600000000002</v>
      </c>
      <c r="G56">
        <v>2384.41</v>
      </c>
      <c r="H56">
        <v>377502</v>
      </c>
      <c r="I56" s="2">
        <v>1.8E-3</v>
      </c>
      <c r="J56">
        <v>1828.2619999999999</v>
      </c>
      <c r="K56">
        <v>4.25</v>
      </c>
      <c r="L56" t="s">
        <v>12</v>
      </c>
    </row>
    <row r="57" spans="1:12" x14ac:dyDescent="0.25">
      <c r="A57" s="1">
        <v>45740</v>
      </c>
      <c r="B57" t="s">
        <v>11</v>
      </c>
      <c r="C57">
        <v>2874.53</v>
      </c>
      <c r="D57">
        <v>2887.67</v>
      </c>
      <c r="E57">
        <v>2867.42</v>
      </c>
      <c r="F57">
        <v>2873.14</v>
      </c>
      <c r="G57">
        <v>2874.35</v>
      </c>
      <c r="H57">
        <v>221976</v>
      </c>
      <c r="I57" s="2">
        <v>-5.0000000000000001E-4</v>
      </c>
      <c r="J57">
        <v>1826.7719999999999</v>
      </c>
      <c r="K57">
        <v>-1.39</v>
      </c>
      <c r="L57" t="s">
        <v>14</v>
      </c>
    </row>
    <row r="58" spans="1:12" x14ac:dyDescent="0.25">
      <c r="A58" s="1">
        <v>45740</v>
      </c>
      <c r="B58" t="s">
        <v>13</v>
      </c>
      <c r="C58">
        <v>1247.31</v>
      </c>
      <c r="D58">
        <v>1266.27</v>
      </c>
      <c r="E58">
        <v>1229.43</v>
      </c>
      <c r="F58">
        <v>1253.6600000000001</v>
      </c>
      <c r="G58">
        <v>1253.3800000000001</v>
      </c>
      <c r="H58">
        <v>256143</v>
      </c>
      <c r="I58" s="2">
        <v>5.1000000000000004E-3</v>
      </c>
      <c r="J58">
        <v>1827.7860000000001</v>
      </c>
      <c r="K58">
        <v>6.35</v>
      </c>
      <c r="L58" t="s">
        <v>12</v>
      </c>
    </row>
    <row r="59" spans="1:12" x14ac:dyDescent="0.25">
      <c r="A59" s="1">
        <v>45740</v>
      </c>
      <c r="B59" t="s">
        <v>15</v>
      </c>
      <c r="C59">
        <v>1952.82</v>
      </c>
      <c r="D59">
        <v>1970.04</v>
      </c>
      <c r="E59">
        <v>1937.84</v>
      </c>
      <c r="F59">
        <v>1952.34</v>
      </c>
      <c r="G59">
        <v>1952.43</v>
      </c>
      <c r="H59">
        <v>378561</v>
      </c>
      <c r="I59" s="2">
        <v>-2.0000000000000001E-4</v>
      </c>
      <c r="J59">
        <v>1829.1179999999999</v>
      </c>
      <c r="K59">
        <v>-0.48</v>
      </c>
      <c r="L59" t="s">
        <v>14</v>
      </c>
    </row>
    <row r="60" spans="1:12" x14ac:dyDescent="0.25">
      <c r="A60" s="1">
        <v>45740</v>
      </c>
      <c r="B60" t="s">
        <v>16</v>
      </c>
      <c r="C60">
        <v>680</v>
      </c>
      <c r="D60">
        <v>689.31</v>
      </c>
      <c r="E60">
        <v>670.56</v>
      </c>
      <c r="F60">
        <v>675.91</v>
      </c>
      <c r="G60">
        <v>674.84</v>
      </c>
      <c r="H60">
        <v>243211</v>
      </c>
      <c r="I60" s="2">
        <v>-6.0000000000000001E-3</v>
      </c>
      <c r="J60">
        <v>1830.63</v>
      </c>
      <c r="K60">
        <v>-4.09</v>
      </c>
      <c r="L60" t="s">
        <v>14</v>
      </c>
    </row>
    <row r="61" spans="1:12" x14ac:dyDescent="0.25">
      <c r="A61" s="1">
        <v>45740</v>
      </c>
      <c r="B61" t="s">
        <v>17</v>
      </c>
      <c r="C61">
        <v>2375.4699999999998</v>
      </c>
      <c r="D61">
        <v>2387.59</v>
      </c>
      <c r="E61">
        <v>2357.81</v>
      </c>
      <c r="F61">
        <v>2378.81</v>
      </c>
      <c r="G61">
        <v>2380.0300000000002</v>
      </c>
      <c r="H61">
        <v>168821</v>
      </c>
      <c r="I61" s="2">
        <v>1.4E-3</v>
      </c>
      <c r="J61">
        <v>1831.77</v>
      </c>
      <c r="K61">
        <v>3.34</v>
      </c>
      <c r="L61" t="s">
        <v>12</v>
      </c>
    </row>
    <row r="62" spans="1:12" x14ac:dyDescent="0.25">
      <c r="A62" s="1">
        <v>45741</v>
      </c>
      <c r="B62" t="s">
        <v>11</v>
      </c>
      <c r="C62">
        <v>2881.23</v>
      </c>
      <c r="D62">
        <v>2886.31</v>
      </c>
      <c r="E62">
        <v>2864</v>
      </c>
      <c r="F62">
        <v>2878.21</v>
      </c>
      <c r="G62">
        <v>2879.04</v>
      </c>
      <c r="H62">
        <v>138435</v>
      </c>
      <c r="I62" s="2">
        <v>-1E-3</v>
      </c>
      <c r="J62">
        <v>1831.848</v>
      </c>
      <c r="K62">
        <v>-3.02</v>
      </c>
      <c r="L62" t="s">
        <v>14</v>
      </c>
    </row>
    <row r="63" spans="1:12" x14ac:dyDescent="0.25">
      <c r="A63" s="1">
        <v>45741</v>
      </c>
      <c r="B63" t="s">
        <v>13</v>
      </c>
      <c r="C63">
        <v>1262.25</v>
      </c>
      <c r="D63">
        <v>1268.8</v>
      </c>
      <c r="E63">
        <v>1243.71</v>
      </c>
      <c r="F63">
        <v>1260.32</v>
      </c>
      <c r="G63">
        <v>1260.3399999999999</v>
      </c>
      <c r="H63">
        <v>286504</v>
      </c>
      <c r="I63" s="2">
        <v>-1.5E-3</v>
      </c>
      <c r="J63">
        <v>1835.922</v>
      </c>
      <c r="K63">
        <v>-1.93</v>
      </c>
      <c r="L63" t="s">
        <v>14</v>
      </c>
    </row>
    <row r="64" spans="1:12" x14ac:dyDescent="0.25">
      <c r="A64" s="1">
        <v>45741</v>
      </c>
      <c r="B64" t="s">
        <v>15</v>
      </c>
      <c r="C64">
        <v>1964.71</v>
      </c>
      <c r="D64">
        <v>1975.6</v>
      </c>
      <c r="E64">
        <v>1947.46</v>
      </c>
      <c r="F64">
        <v>1959.9</v>
      </c>
      <c r="G64">
        <v>1959.66</v>
      </c>
      <c r="H64">
        <v>251099</v>
      </c>
      <c r="I64" s="2">
        <v>-2.3999999999999998E-3</v>
      </c>
      <c r="J64">
        <v>1835.32</v>
      </c>
      <c r="K64">
        <v>-4.8099999999999996</v>
      </c>
      <c r="L64" t="s">
        <v>14</v>
      </c>
    </row>
    <row r="65" spans="1:12" x14ac:dyDescent="0.25">
      <c r="A65" s="1">
        <v>45741</v>
      </c>
      <c r="B65" t="s">
        <v>16</v>
      </c>
      <c r="C65">
        <v>682.65</v>
      </c>
      <c r="D65">
        <v>693.41</v>
      </c>
      <c r="E65">
        <v>667.46</v>
      </c>
      <c r="F65">
        <v>681.61</v>
      </c>
      <c r="G65">
        <v>680.48</v>
      </c>
      <c r="H65">
        <v>311909</v>
      </c>
      <c r="I65" s="2">
        <v>-1.5E-3</v>
      </c>
      <c r="J65">
        <v>1830.288</v>
      </c>
      <c r="K65">
        <v>-1.04</v>
      </c>
      <c r="L65" t="s">
        <v>14</v>
      </c>
    </row>
    <row r="66" spans="1:12" x14ac:dyDescent="0.25">
      <c r="A66" s="1">
        <v>45741</v>
      </c>
      <c r="B66" t="s">
        <v>17</v>
      </c>
      <c r="C66">
        <v>2377.3000000000002</v>
      </c>
      <c r="D66">
        <v>2385.39</v>
      </c>
      <c r="E66">
        <v>2370.62</v>
      </c>
      <c r="F66">
        <v>2379.1999999999998</v>
      </c>
      <c r="G66">
        <v>2378.2800000000002</v>
      </c>
      <c r="H66">
        <v>382205</v>
      </c>
      <c r="I66" s="2">
        <v>8.0000000000000004E-4</v>
      </c>
      <c r="J66">
        <v>1829.31</v>
      </c>
      <c r="K66">
        <v>1.9</v>
      </c>
      <c r="L66" t="s">
        <v>12</v>
      </c>
    </row>
    <row r="67" spans="1:12" x14ac:dyDescent="0.25">
      <c r="A67" s="1">
        <v>45742</v>
      </c>
      <c r="B67" t="s">
        <v>11</v>
      </c>
      <c r="C67">
        <v>2896.94</v>
      </c>
      <c r="D67">
        <v>2903.05</v>
      </c>
      <c r="E67">
        <v>2886.56</v>
      </c>
      <c r="F67">
        <v>2898.58</v>
      </c>
      <c r="G67">
        <v>2897.04</v>
      </c>
      <c r="H67">
        <v>412649</v>
      </c>
      <c r="I67" s="2">
        <v>5.9999999999999995E-4</v>
      </c>
      <c r="J67">
        <v>1827.624</v>
      </c>
      <c r="K67">
        <v>1.64</v>
      </c>
      <c r="L67" t="s">
        <v>12</v>
      </c>
    </row>
    <row r="68" spans="1:12" x14ac:dyDescent="0.25">
      <c r="A68" s="1">
        <v>45742</v>
      </c>
      <c r="B68" t="s">
        <v>13</v>
      </c>
      <c r="C68">
        <v>1248.77</v>
      </c>
      <c r="D68">
        <v>1267.2</v>
      </c>
      <c r="E68">
        <v>1237.93</v>
      </c>
      <c r="F68">
        <v>1257.31</v>
      </c>
      <c r="G68">
        <v>1255.3499999999999</v>
      </c>
      <c r="H68">
        <v>101039</v>
      </c>
      <c r="I68" s="2">
        <v>6.7999999999999996E-3</v>
      </c>
      <c r="J68">
        <v>1827.546</v>
      </c>
      <c r="K68">
        <v>8.5399999999999991</v>
      </c>
      <c r="L68" t="s">
        <v>12</v>
      </c>
    </row>
    <row r="69" spans="1:12" x14ac:dyDescent="0.25">
      <c r="A69" s="1">
        <v>45742</v>
      </c>
      <c r="B69" t="s">
        <v>15</v>
      </c>
      <c r="C69">
        <v>1949.24</v>
      </c>
      <c r="D69">
        <v>1958.76</v>
      </c>
      <c r="E69">
        <v>1933.03</v>
      </c>
      <c r="F69">
        <v>1934.74</v>
      </c>
      <c r="G69">
        <v>1934.75</v>
      </c>
      <c r="H69">
        <v>307847</v>
      </c>
      <c r="I69" s="2">
        <v>-7.4000000000000003E-3</v>
      </c>
      <c r="J69">
        <v>1827.9680000000001</v>
      </c>
      <c r="K69">
        <v>-14.5</v>
      </c>
      <c r="L69" t="s">
        <v>14</v>
      </c>
    </row>
    <row r="70" spans="1:12" x14ac:dyDescent="0.25">
      <c r="A70" s="1">
        <v>45742</v>
      </c>
      <c r="B70" t="s">
        <v>16</v>
      </c>
      <c r="C70">
        <v>681.34</v>
      </c>
      <c r="D70">
        <v>699.53</v>
      </c>
      <c r="E70">
        <v>662.17</v>
      </c>
      <c r="F70">
        <v>676.72</v>
      </c>
      <c r="G70">
        <v>676.59</v>
      </c>
      <c r="H70">
        <v>425478</v>
      </c>
      <c r="I70" s="2">
        <v>-6.7999999999999996E-3</v>
      </c>
      <c r="J70">
        <v>1832.4159999999999</v>
      </c>
      <c r="K70">
        <v>-4.62</v>
      </c>
      <c r="L70" t="s">
        <v>14</v>
      </c>
    </row>
    <row r="71" spans="1:12" x14ac:dyDescent="0.25">
      <c r="A71" s="1">
        <v>45742</v>
      </c>
      <c r="B71" t="s">
        <v>17</v>
      </c>
      <c r="C71">
        <v>2367.48</v>
      </c>
      <c r="D71">
        <v>2386.5300000000002</v>
      </c>
      <c r="E71">
        <v>2361.89</v>
      </c>
      <c r="F71">
        <v>2370.77</v>
      </c>
      <c r="G71">
        <v>2369.2600000000002</v>
      </c>
      <c r="H71">
        <v>127508</v>
      </c>
      <c r="I71" s="2">
        <v>1.4E-3</v>
      </c>
      <c r="J71">
        <v>1832.9480000000001</v>
      </c>
      <c r="K71">
        <v>3.29</v>
      </c>
      <c r="L71" t="s">
        <v>12</v>
      </c>
    </row>
    <row r="72" spans="1:12" x14ac:dyDescent="0.25">
      <c r="A72" s="1">
        <v>45743</v>
      </c>
      <c r="B72" t="s">
        <v>11</v>
      </c>
      <c r="C72">
        <v>2891.31</v>
      </c>
      <c r="D72">
        <v>2901.27</v>
      </c>
      <c r="E72">
        <v>2885.36</v>
      </c>
      <c r="F72">
        <v>2898.19</v>
      </c>
      <c r="G72">
        <v>2897.43</v>
      </c>
      <c r="H72">
        <v>274538</v>
      </c>
      <c r="I72" s="2">
        <v>2.3999999999999998E-3</v>
      </c>
      <c r="J72">
        <v>1833.2919999999999</v>
      </c>
      <c r="K72">
        <v>6.88</v>
      </c>
      <c r="L72" t="s">
        <v>12</v>
      </c>
    </row>
    <row r="73" spans="1:12" x14ac:dyDescent="0.25">
      <c r="A73" s="1">
        <v>45743</v>
      </c>
      <c r="B73" t="s">
        <v>13</v>
      </c>
      <c r="C73">
        <v>1257.24</v>
      </c>
      <c r="D73">
        <v>1276.5</v>
      </c>
      <c r="E73">
        <v>1243.6400000000001</v>
      </c>
      <c r="F73">
        <v>1259.42</v>
      </c>
      <c r="G73">
        <v>1259.95</v>
      </c>
      <c r="H73">
        <v>150935</v>
      </c>
      <c r="I73" s="2">
        <v>1.6999999999999999E-3</v>
      </c>
      <c r="J73">
        <v>1832.34</v>
      </c>
      <c r="K73">
        <v>2.1800000000000002</v>
      </c>
      <c r="L73" t="s">
        <v>12</v>
      </c>
    </row>
    <row r="74" spans="1:12" x14ac:dyDescent="0.25">
      <c r="A74" s="1">
        <v>45743</v>
      </c>
      <c r="B74" t="s">
        <v>15</v>
      </c>
      <c r="C74">
        <v>1959.27</v>
      </c>
      <c r="D74">
        <v>1970.03</v>
      </c>
      <c r="E74">
        <v>1946.12</v>
      </c>
      <c r="F74">
        <v>1956.98</v>
      </c>
      <c r="G74">
        <v>1958.61</v>
      </c>
      <c r="H74">
        <v>172458</v>
      </c>
      <c r="I74" s="2">
        <v>-1.1999999999999999E-3</v>
      </c>
      <c r="J74">
        <v>1826.71</v>
      </c>
      <c r="K74">
        <v>-2.29</v>
      </c>
      <c r="L74" t="s">
        <v>14</v>
      </c>
    </row>
    <row r="75" spans="1:12" x14ac:dyDescent="0.25">
      <c r="A75" s="1">
        <v>45743</v>
      </c>
      <c r="B75" t="s">
        <v>16</v>
      </c>
      <c r="C75">
        <v>671.77</v>
      </c>
      <c r="D75">
        <v>691.64</v>
      </c>
      <c r="E75">
        <v>663.29</v>
      </c>
      <c r="F75">
        <v>679.38</v>
      </c>
      <c r="G75">
        <v>681.15</v>
      </c>
      <c r="H75">
        <v>353807</v>
      </c>
      <c r="I75" s="2">
        <v>1.1299999999999999E-2</v>
      </c>
      <c r="J75">
        <v>1825.498</v>
      </c>
      <c r="K75">
        <v>7.61</v>
      </c>
      <c r="L75" t="s">
        <v>12</v>
      </c>
    </row>
    <row r="76" spans="1:12" x14ac:dyDescent="0.25">
      <c r="A76" s="1">
        <v>45743</v>
      </c>
      <c r="B76" t="s">
        <v>17</v>
      </c>
      <c r="C76">
        <v>2374.33</v>
      </c>
      <c r="D76">
        <v>2384.0700000000002</v>
      </c>
      <c r="E76">
        <v>2361.7199999999998</v>
      </c>
      <c r="F76">
        <v>2372.4899999999998</v>
      </c>
      <c r="G76">
        <v>2370.66</v>
      </c>
      <c r="H76">
        <v>381289</v>
      </c>
      <c r="I76" s="2">
        <v>-8.0000000000000004E-4</v>
      </c>
      <c r="J76">
        <v>1830.6</v>
      </c>
      <c r="K76">
        <v>-1.84</v>
      </c>
      <c r="L76" t="s">
        <v>14</v>
      </c>
    </row>
    <row r="77" spans="1:12" x14ac:dyDescent="0.25">
      <c r="A77" s="1">
        <v>45744</v>
      </c>
      <c r="B77" t="s">
        <v>11</v>
      </c>
      <c r="C77">
        <v>2899.8</v>
      </c>
      <c r="D77">
        <v>2914.36</v>
      </c>
      <c r="E77">
        <v>2881.49</v>
      </c>
      <c r="F77">
        <v>2893.43</v>
      </c>
      <c r="G77">
        <v>2893.32</v>
      </c>
      <c r="H77">
        <v>182816</v>
      </c>
      <c r="I77" s="2">
        <v>-2.2000000000000001E-3</v>
      </c>
      <c r="J77">
        <v>1830.8520000000001</v>
      </c>
      <c r="K77">
        <v>-6.37</v>
      </c>
      <c r="L77" t="s">
        <v>14</v>
      </c>
    </row>
    <row r="78" spans="1:12" x14ac:dyDescent="0.25">
      <c r="A78" s="1">
        <v>45744</v>
      </c>
      <c r="B78" t="s">
        <v>13</v>
      </c>
      <c r="C78">
        <v>1236.08</v>
      </c>
      <c r="D78">
        <v>1246.01</v>
      </c>
      <c r="E78">
        <v>1220.99</v>
      </c>
      <c r="F78">
        <v>1231.27</v>
      </c>
      <c r="G78">
        <v>1232.28</v>
      </c>
      <c r="H78">
        <v>116800</v>
      </c>
      <c r="I78" s="2">
        <v>-3.8999999999999998E-3</v>
      </c>
      <c r="J78">
        <v>1830.144</v>
      </c>
      <c r="K78">
        <v>-4.8099999999999996</v>
      </c>
      <c r="L78" t="s">
        <v>14</v>
      </c>
    </row>
    <row r="79" spans="1:12" x14ac:dyDescent="0.25">
      <c r="A79" s="1">
        <v>45744</v>
      </c>
      <c r="B79" t="s">
        <v>15</v>
      </c>
      <c r="C79">
        <v>1947.15</v>
      </c>
      <c r="D79">
        <v>1966.25</v>
      </c>
      <c r="E79">
        <v>1932.73</v>
      </c>
      <c r="F79">
        <v>1950.92</v>
      </c>
      <c r="G79">
        <v>1950.26</v>
      </c>
      <c r="H79">
        <v>468490</v>
      </c>
      <c r="I79" s="2">
        <v>1.9E-3</v>
      </c>
      <c r="J79">
        <v>1835.962</v>
      </c>
      <c r="K79">
        <v>3.77</v>
      </c>
      <c r="L79" t="s">
        <v>12</v>
      </c>
    </row>
    <row r="80" spans="1:12" x14ac:dyDescent="0.25">
      <c r="A80" s="1">
        <v>45744</v>
      </c>
      <c r="B80" t="s">
        <v>16</v>
      </c>
      <c r="C80">
        <v>694.67</v>
      </c>
      <c r="D80">
        <v>707.36</v>
      </c>
      <c r="E80">
        <v>686.21</v>
      </c>
      <c r="F80">
        <v>704.89</v>
      </c>
      <c r="G80">
        <v>703.6</v>
      </c>
      <c r="H80">
        <v>185284</v>
      </c>
      <c r="I80" s="2">
        <v>1.47E-2</v>
      </c>
      <c r="J80">
        <v>1837.3679999999999</v>
      </c>
      <c r="K80">
        <v>10.220000000000001</v>
      </c>
      <c r="L80" t="s">
        <v>12</v>
      </c>
    </row>
    <row r="81" spans="1:12" x14ac:dyDescent="0.25">
      <c r="A81" s="1">
        <v>45744</v>
      </c>
      <c r="B81" t="s">
        <v>17</v>
      </c>
      <c r="C81">
        <v>2368.39</v>
      </c>
      <c r="D81">
        <v>2386.41</v>
      </c>
      <c r="E81">
        <v>2356.5700000000002</v>
      </c>
      <c r="F81">
        <v>2373.75</v>
      </c>
      <c r="G81">
        <v>2373.81</v>
      </c>
      <c r="H81">
        <v>161279</v>
      </c>
      <c r="I81" s="2">
        <v>2.3E-3</v>
      </c>
      <c r="J81">
        <v>1831.8320000000001</v>
      </c>
      <c r="K81">
        <v>5.36</v>
      </c>
      <c r="L81" t="s">
        <v>12</v>
      </c>
    </row>
    <row r="82" spans="1:12" x14ac:dyDescent="0.25">
      <c r="A82" s="1">
        <v>45747</v>
      </c>
      <c r="B82" t="s">
        <v>11</v>
      </c>
      <c r="C82">
        <v>2891.62</v>
      </c>
      <c r="D82">
        <v>2908.03</v>
      </c>
      <c r="E82">
        <v>2878.2</v>
      </c>
      <c r="F82">
        <v>2889.89</v>
      </c>
      <c r="G82">
        <v>2890.97</v>
      </c>
      <c r="H82">
        <v>474614</v>
      </c>
      <c r="I82" s="2">
        <v>-5.9999999999999995E-4</v>
      </c>
      <c r="J82">
        <v>1834.682</v>
      </c>
      <c r="K82">
        <v>-1.73</v>
      </c>
      <c r="L82" t="s">
        <v>14</v>
      </c>
    </row>
    <row r="83" spans="1:12" x14ac:dyDescent="0.25">
      <c r="A83" s="1">
        <v>45747</v>
      </c>
      <c r="B83" t="s">
        <v>13</v>
      </c>
      <c r="C83">
        <v>1260.24</v>
      </c>
      <c r="D83">
        <v>1266.6099999999999</v>
      </c>
      <c r="E83">
        <v>1247.82</v>
      </c>
      <c r="F83">
        <v>1260.3599999999999</v>
      </c>
      <c r="G83">
        <v>1258.5899999999999</v>
      </c>
      <c r="H83">
        <v>402940</v>
      </c>
      <c r="I83" s="2">
        <v>1E-4</v>
      </c>
      <c r="J83">
        <v>1840.73</v>
      </c>
      <c r="K83">
        <v>0.12</v>
      </c>
      <c r="L83" t="s">
        <v>12</v>
      </c>
    </row>
    <row r="84" spans="1:12" x14ac:dyDescent="0.25">
      <c r="A84" s="1">
        <v>45747</v>
      </c>
      <c r="B84" t="s">
        <v>15</v>
      </c>
      <c r="C84">
        <v>1959.38</v>
      </c>
      <c r="D84">
        <v>1973.68</v>
      </c>
      <c r="E84">
        <v>1946.38</v>
      </c>
      <c r="F84">
        <v>1957.95</v>
      </c>
      <c r="G84">
        <v>1959.53</v>
      </c>
      <c r="H84">
        <v>348890</v>
      </c>
      <c r="I84" s="2">
        <v>-6.9999999999999999E-4</v>
      </c>
      <c r="J84">
        <v>1837.854</v>
      </c>
      <c r="K84">
        <v>-1.43</v>
      </c>
      <c r="L84" t="s">
        <v>14</v>
      </c>
    </row>
    <row r="85" spans="1:12" x14ac:dyDescent="0.25">
      <c r="A85" s="1">
        <v>45747</v>
      </c>
      <c r="B85" t="s">
        <v>16</v>
      </c>
      <c r="C85">
        <v>676.77</v>
      </c>
      <c r="D85">
        <v>693.46</v>
      </c>
      <c r="E85">
        <v>666.52</v>
      </c>
      <c r="F85">
        <v>677.21</v>
      </c>
      <c r="G85">
        <v>675.44</v>
      </c>
      <c r="H85">
        <v>479291</v>
      </c>
      <c r="I85" s="2">
        <v>6.9999999999999999E-4</v>
      </c>
      <c r="J85">
        <v>1836.9880000000001</v>
      </c>
      <c r="K85">
        <v>0.44</v>
      </c>
      <c r="L85" t="s">
        <v>12</v>
      </c>
    </row>
    <row r="86" spans="1:12" x14ac:dyDescent="0.25">
      <c r="A86" s="1">
        <v>45747</v>
      </c>
      <c r="B86" t="s">
        <v>17</v>
      </c>
      <c r="C86">
        <v>2387.88</v>
      </c>
      <c r="D86">
        <v>2394.9699999999998</v>
      </c>
      <c r="E86">
        <v>2382.4299999999998</v>
      </c>
      <c r="F86">
        <v>2388</v>
      </c>
      <c r="G86">
        <v>2387.23</v>
      </c>
      <c r="H86">
        <v>382897</v>
      </c>
      <c r="I86" s="2">
        <v>1E-4</v>
      </c>
      <c r="J86">
        <v>1836.32</v>
      </c>
      <c r="K86">
        <v>0.12</v>
      </c>
      <c r="L86" t="s">
        <v>12</v>
      </c>
    </row>
    <row r="87" spans="1:12" x14ac:dyDescent="0.25">
      <c r="A87" s="1">
        <v>45748</v>
      </c>
      <c r="B87" t="s">
        <v>11</v>
      </c>
      <c r="C87">
        <v>2921.72</v>
      </c>
      <c r="D87">
        <v>2933.13</v>
      </c>
      <c r="E87">
        <v>2916.34</v>
      </c>
      <c r="F87">
        <v>2920.13</v>
      </c>
      <c r="G87">
        <v>2918.56</v>
      </c>
      <c r="H87">
        <v>468262</v>
      </c>
      <c r="I87" s="2">
        <v>-5.0000000000000001E-4</v>
      </c>
      <c r="J87">
        <v>1830.444</v>
      </c>
      <c r="K87">
        <v>-1.59</v>
      </c>
      <c r="L87" t="s">
        <v>14</v>
      </c>
    </row>
    <row r="88" spans="1:12" x14ac:dyDescent="0.25">
      <c r="A88" s="1">
        <v>45748</v>
      </c>
      <c r="B88" t="s">
        <v>13</v>
      </c>
      <c r="C88">
        <v>1233.0999999999999</v>
      </c>
      <c r="D88">
        <v>1251.42</v>
      </c>
      <c r="E88">
        <v>1222.8399999999999</v>
      </c>
      <c r="F88">
        <v>1245.98</v>
      </c>
      <c r="G88">
        <v>1244.45</v>
      </c>
      <c r="H88">
        <v>154940</v>
      </c>
      <c r="I88" s="2">
        <v>1.04E-2</v>
      </c>
      <c r="J88">
        <v>1823.6020000000001</v>
      </c>
      <c r="K88">
        <v>12.88</v>
      </c>
      <c r="L88" t="s">
        <v>12</v>
      </c>
    </row>
    <row r="89" spans="1:12" x14ac:dyDescent="0.25">
      <c r="A89" s="1">
        <v>45748</v>
      </c>
      <c r="B89" t="s">
        <v>15</v>
      </c>
      <c r="C89">
        <v>1951.13</v>
      </c>
      <c r="D89">
        <v>1960.81</v>
      </c>
      <c r="E89">
        <v>1942.4</v>
      </c>
      <c r="F89">
        <v>1953.62</v>
      </c>
      <c r="G89">
        <v>1954.6</v>
      </c>
      <c r="H89">
        <v>251377</v>
      </c>
      <c r="I89" s="2">
        <v>1.2999999999999999E-3</v>
      </c>
      <c r="J89">
        <v>1826.2439999999999</v>
      </c>
      <c r="K89">
        <v>2.4900000000000002</v>
      </c>
      <c r="L89" t="s">
        <v>12</v>
      </c>
    </row>
    <row r="90" spans="1:12" x14ac:dyDescent="0.25">
      <c r="A90" s="1">
        <v>45748</v>
      </c>
      <c r="B90" t="s">
        <v>16</v>
      </c>
      <c r="C90">
        <v>679.27</v>
      </c>
      <c r="D90">
        <v>695.64</v>
      </c>
      <c r="E90">
        <v>663.83</v>
      </c>
      <c r="F90">
        <v>673.87</v>
      </c>
      <c r="G90">
        <v>672.49</v>
      </c>
      <c r="H90">
        <v>289931</v>
      </c>
      <c r="I90" s="2">
        <v>-7.9000000000000008E-3</v>
      </c>
      <c r="J90">
        <v>1826.2159999999999</v>
      </c>
      <c r="K90">
        <v>-5.4</v>
      </c>
      <c r="L90" t="s">
        <v>14</v>
      </c>
    </row>
    <row r="91" spans="1:12" x14ac:dyDescent="0.25">
      <c r="A91" s="1">
        <v>45748</v>
      </c>
      <c r="B91" t="s">
        <v>17</v>
      </c>
      <c r="C91">
        <v>2357.62</v>
      </c>
      <c r="D91">
        <v>2372.7199999999998</v>
      </c>
      <c r="E91">
        <v>2338.0700000000002</v>
      </c>
      <c r="F91">
        <v>2358.62</v>
      </c>
      <c r="G91">
        <v>2357</v>
      </c>
      <c r="H91">
        <v>413641</v>
      </c>
      <c r="I91" s="2">
        <v>4.0000000000000002E-4</v>
      </c>
      <c r="J91">
        <v>1827.1020000000001</v>
      </c>
      <c r="K91">
        <v>1</v>
      </c>
      <c r="L91" t="s">
        <v>12</v>
      </c>
    </row>
    <row r="92" spans="1:12" x14ac:dyDescent="0.25">
      <c r="A92" s="1">
        <v>45749</v>
      </c>
      <c r="B92" t="s">
        <v>11</v>
      </c>
      <c r="C92">
        <v>2888.87</v>
      </c>
      <c r="D92">
        <v>2898.59</v>
      </c>
      <c r="E92">
        <v>2876.24</v>
      </c>
      <c r="F92">
        <v>2885.92</v>
      </c>
      <c r="G92">
        <v>2887.55</v>
      </c>
      <c r="H92">
        <v>184884</v>
      </c>
      <c r="I92" s="2">
        <v>-1E-3</v>
      </c>
      <c r="J92">
        <v>1830.48</v>
      </c>
      <c r="K92">
        <v>-2.95</v>
      </c>
      <c r="L92" t="s">
        <v>14</v>
      </c>
    </row>
    <row r="93" spans="1:12" x14ac:dyDescent="0.25">
      <c r="A93" s="1">
        <v>45749</v>
      </c>
      <c r="B93" t="s">
        <v>13</v>
      </c>
      <c r="C93">
        <v>1258.1300000000001</v>
      </c>
      <c r="D93">
        <v>1272.4000000000001</v>
      </c>
      <c r="E93">
        <v>1251.6099999999999</v>
      </c>
      <c r="F93">
        <v>1259.19</v>
      </c>
      <c r="G93">
        <v>1257.53</v>
      </c>
      <c r="H93">
        <v>111487</v>
      </c>
      <c r="I93" s="2">
        <v>8.0000000000000004E-4</v>
      </c>
      <c r="J93">
        <v>1829.1220000000001</v>
      </c>
      <c r="K93">
        <v>1.06</v>
      </c>
      <c r="L93" t="s">
        <v>12</v>
      </c>
    </row>
    <row r="94" spans="1:12" x14ac:dyDescent="0.25">
      <c r="A94" s="1">
        <v>45749</v>
      </c>
      <c r="B94" t="s">
        <v>15</v>
      </c>
      <c r="C94">
        <v>1956.72</v>
      </c>
      <c r="D94">
        <v>1973.16</v>
      </c>
      <c r="E94">
        <v>1938.57</v>
      </c>
      <c r="F94">
        <v>1953.48</v>
      </c>
      <c r="G94">
        <v>1952.85</v>
      </c>
      <c r="H94">
        <v>419529</v>
      </c>
      <c r="I94" s="2">
        <v>-1.6999999999999999E-3</v>
      </c>
      <c r="J94">
        <v>1827.596</v>
      </c>
      <c r="K94">
        <v>-3.24</v>
      </c>
      <c r="L94" t="s">
        <v>14</v>
      </c>
    </row>
    <row r="95" spans="1:12" x14ac:dyDescent="0.25">
      <c r="A95" s="1">
        <v>45749</v>
      </c>
      <c r="B95" t="s">
        <v>16</v>
      </c>
      <c r="C95">
        <v>677.48</v>
      </c>
      <c r="D95">
        <v>685.84</v>
      </c>
      <c r="E95">
        <v>664.43</v>
      </c>
      <c r="F95">
        <v>678.3</v>
      </c>
      <c r="G95">
        <v>678.67</v>
      </c>
      <c r="H95">
        <v>353625</v>
      </c>
      <c r="I95" s="2">
        <v>1.1999999999999999E-3</v>
      </c>
      <c r="J95">
        <v>1830.11</v>
      </c>
      <c r="K95">
        <v>0.82</v>
      </c>
      <c r="L95" t="s">
        <v>12</v>
      </c>
    </row>
    <row r="96" spans="1:12" x14ac:dyDescent="0.25">
      <c r="A96" s="1">
        <v>45749</v>
      </c>
      <c r="B96" t="s">
        <v>17</v>
      </c>
      <c r="C96">
        <v>2360.7600000000002</v>
      </c>
      <c r="D96">
        <v>2378.7800000000002</v>
      </c>
      <c r="E96">
        <v>2353.1</v>
      </c>
      <c r="F96">
        <v>2375.5100000000002</v>
      </c>
      <c r="G96">
        <v>2376.2800000000002</v>
      </c>
      <c r="H96">
        <v>382662</v>
      </c>
      <c r="I96" s="2">
        <v>6.1999999999999998E-3</v>
      </c>
      <c r="J96">
        <v>1830.452</v>
      </c>
      <c r="K96">
        <v>14.75</v>
      </c>
      <c r="L96" t="s">
        <v>12</v>
      </c>
    </row>
    <row r="97" spans="1:12" x14ac:dyDescent="0.25">
      <c r="A97" s="1">
        <v>45750</v>
      </c>
      <c r="B97" t="s">
        <v>11</v>
      </c>
      <c r="C97">
        <v>2882.66</v>
      </c>
      <c r="D97">
        <v>2898.99</v>
      </c>
      <c r="E97">
        <v>2874.23</v>
      </c>
      <c r="F97">
        <v>2879.13</v>
      </c>
      <c r="G97">
        <v>2877.44</v>
      </c>
      <c r="H97">
        <v>480994</v>
      </c>
      <c r="I97" s="2">
        <v>-1.1999999999999999E-3</v>
      </c>
      <c r="J97">
        <v>1830.316</v>
      </c>
      <c r="K97">
        <v>-3.53</v>
      </c>
      <c r="L97" t="s">
        <v>14</v>
      </c>
    </row>
    <row r="98" spans="1:12" x14ac:dyDescent="0.25">
      <c r="A98" s="1">
        <v>45750</v>
      </c>
      <c r="B98" t="s">
        <v>13</v>
      </c>
      <c r="C98">
        <v>1249.67</v>
      </c>
      <c r="D98">
        <v>1267</v>
      </c>
      <c r="E98">
        <v>1234.08</v>
      </c>
      <c r="F98">
        <v>1251.56</v>
      </c>
      <c r="G98">
        <v>1249.8900000000001</v>
      </c>
      <c r="H98">
        <v>377197</v>
      </c>
      <c r="I98" s="2">
        <v>1.5E-3</v>
      </c>
      <c r="J98">
        <v>1830.1559999999999</v>
      </c>
      <c r="K98">
        <v>1.89</v>
      </c>
      <c r="L98" t="s">
        <v>12</v>
      </c>
    </row>
    <row r="99" spans="1:12" x14ac:dyDescent="0.25">
      <c r="A99" s="1">
        <v>45750</v>
      </c>
      <c r="B99" t="s">
        <v>15</v>
      </c>
      <c r="C99">
        <v>1968.87</v>
      </c>
      <c r="D99">
        <v>1976.12</v>
      </c>
      <c r="E99">
        <v>1960.43</v>
      </c>
      <c r="F99">
        <v>1966.05</v>
      </c>
      <c r="G99">
        <v>1966.94</v>
      </c>
      <c r="H99">
        <v>145648</v>
      </c>
      <c r="I99" s="2">
        <v>-1.4E-3</v>
      </c>
      <c r="J99">
        <v>1826.1379999999999</v>
      </c>
      <c r="K99">
        <v>-2.82</v>
      </c>
      <c r="L99" t="s">
        <v>14</v>
      </c>
    </row>
    <row r="100" spans="1:12" x14ac:dyDescent="0.25">
      <c r="A100" s="1">
        <v>45750</v>
      </c>
      <c r="B100" t="s">
        <v>16</v>
      </c>
      <c r="C100">
        <v>674.6</v>
      </c>
      <c r="D100">
        <v>692.76</v>
      </c>
      <c r="E100">
        <v>665.62</v>
      </c>
      <c r="F100">
        <v>680.01</v>
      </c>
      <c r="G100">
        <v>678.53</v>
      </c>
      <c r="H100">
        <v>499244</v>
      </c>
      <c r="I100" s="2">
        <v>8.0000000000000002E-3</v>
      </c>
      <c r="J100">
        <v>1827.45</v>
      </c>
      <c r="K100">
        <v>5.41</v>
      </c>
      <c r="L100" t="s">
        <v>12</v>
      </c>
    </row>
    <row r="101" spans="1:12" x14ac:dyDescent="0.25">
      <c r="A101" s="1">
        <v>45750</v>
      </c>
      <c r="B101" t="s">
        <v>17</v>
      </c>
      <c r="C101">
        <v>2366.69</v>
      </c>
      <c r="D101">
        <v>2380.96</v>
      </c>
      <c r="E101">
        <v>2348.66</v>
      </c>
      <c r="F101">
        <v>2374.83</v>
      </c>
      <c r="G101">
        <v>2375.11</v>
      </c>
      <c r="H101">
        <v>201653</v>
      </c>
      <c r="I101" s="2">
        <v>3.3999999999999998E-3</v>
      </c>
      <c r="J101">
        <v>1829.1120000000001</v>
      </c>
      <c r="K101">
        <v>8.14</v>
      </c>
      <c r="L101" t="s">
        <v>12</v>
      </c>
    </row>
    <row r="102" spans="1:12" x14ac:dyDescent="0.25">
      <c r="A102" s="1">
        <v>45751</v>
      </c>
      <c r="B102" t="s">
        <v>11</v>
      </c>
      <c r="C102">
        <v>2879.92</v>
      </c>
      <c r="D102">
        <v>2898.87</v>
      </c>
      <c r="E102">
        <v>2862.8</v>
      </c>
      <c r="F102">
        <v>2878.33</v>
      </c>
      <c r="G102">
        <v>2878.86</v>
      </c>
      <c r="H102">
        <v>308605</v>
      </c>
      <c r="I102" s="2">
        <v>-5.9999999999999995E-4</v>
      </c>
      <c r="J102">
        <v>1830.2819999999999</v>
      </c>
      <c r="K102">
        <v>-1.59</v>
      </c>
      <c r="L102" t="s">
        <v>14</v>
      </c>
    </row>
    <row r="103" spans="1:12" x14ac:dyDescent="0.25">
      <c r="A103" s="1">
        <v>45751</v>
      </c>
      <c r="B103" t="s">
        <v>13</v>
      </c>
      <c r="C103">
        <v>1239.52</v>
      </c>
      <c r="D103">
        <v>1256.71</v>
      </c>
      <c r="E103">
        <v>1220.31</v>
      </c>
      <c r="F103">
        <v>1231.47</v>
      </c>
      <c r="G103">
        <v>1233.4100000000001</v>
      </c>
      <c r="H103">
        <v>266467</v>
      </c>
      <c r="I103" s="2">
        <v>-6.4999999999999997E-3</v>
      </c>
      <c r="J103">
        <v>1831.9860000000001</v>
      </c>
      <c r="K103">
        <v>-8.0500000000000007</v>
      </c>
      <c r="L103" t="s">
        <v>14</v>
      </c>
    </row>
    <row r="104" spans="1:12" x14ac:dyDescent="0.25">
      <c r="A104" s="1">
        <v>45751</v>
      </c>
      <c r="B104" t="s">
        <v>15</v>
      </c>
      <c r="C104">
        <v>1964.7</v>
      </c>
      <c r="D104">
        <v>1980.11</v>
      </c>
      <c r="E104">
        <v>1951.56</v>
      </c>
      <c r="F104">
        <v>1972.61</v>
      </c>
      <c r="G104">
        <v>1971.62</v>
      </c>
      <c r="H104">
        <v>168344</v>
      </c>
      <c r="I104" s="2">
        <v>4.0000000000000001E-3</v>
      </c>
      <c r="J104">
        <v>1835.4839999999999</v>
      </c>
      <c r="K104">
        <v>7.91</v>
      </c>
      <c r="L104" t="s">
        <v>12</v>
      </c>
    </row>
    <row r="105" spans="1:12" x14ac:dyDescent="0.25">
      <c r="A105" s="1">
        <v>45751</v>
      </c>
      <c r="B105" t="s">
        <v>16</v>
      </c>
      <c r="C105">
        <v>685.86</v>
      </c>
      <c r="D105">
        <v>700.69</v>
      </c>
      <c r="E105">
        <v>672.6</v>
      </c>
      <c r="F105">
        <v>688.32</v>
      </c>
      <c r="G105">
        <v>686.67</v>
      </c>
      <c r="H105">
        <v>498888</v>
      </c>
      <c r="I105" s="2">
        <v>3.5999999999999999E-3</v>
      </c>
      <c r="J105">
        <v>1830.0219999999999</v>
      </c>
      <c r="K105">
        <v>2.46</v>
      </c>
      <c r="L105" t="s">
        <v>12</v>
      </c>
    </row>
    <row r="106" spans="1:12" x14ac:dyDescent="0.25">
      <c r="A106" s="1">
        <v>45751</v>
      </c>
      <c r="B106" t="s">
        <v>17</v>
      </c>
      <c r="C106">
        <v>2378.06</v>
      </c>
      <c r="D106">
        <v>2386.3000000000002</v>
      </c>
      <c r="E106">
        <v>2363.1799999999998</v>
      </c>
      <c r="F106">
        <v>2380.6799999999998</v>
      </c>
      <c r="G106">
        <v>2380.2600000000002</v>
      </c>
      <c r="H106">
        <v>465717</v>
      </c>
      <c r="I106" s="2">
        <v>1.1000000000000001E-3</v>
      </c>
      <c r="J106">
        <v>1823.508</v>
      </c>
      <c r="K106">
        <v>2.62</v>
      </c>
      <c r="L106" t="s">
        <v>12</v>
      </c>
    </row>
    <row r="107" spans="1:12" x14ac:dyDescent="0.25">
      <c r="A107" s="1">
        <v>45754</v>
      </c>
      <c r="B107" t="s">
        <v>11</v>
      </c>
      <c r="C107">
        <v>2890.57</v>
      </c>
      <c r="D107">
        <v>2898.37</v>
      </c>
      <c r="E107">
        <v>2872.18</v>
      </c>
      <c r="F107">
        <v>2886.85</v>
      </c>
      <c r="G107">
        <v>2887.01</v>
      </c>
      <c r="H107">
        <v>436427</v>
      </c>
      <c r="I107" s="2">
        <v>-1.2999999999999999E-3</v>
      </c>
      <c r="J107">
        <v>1819.0119999999999</v>
      </c>
      <c r="K107">
        <v>-3.72</v>
      </c>
      <c r="L107" t="s">
        <v>14</v>
      </c>
    </row>
    <row r="108" spans="1:12" x14ac:dyDescent="0.25">
      <c r="A108" s="1">
        <v>45754</v>
      </c>
      <c r="B108" t="s">
        <v>13</v>
      </c>
      <c r="C108">
        <v>1247.3599999999999</v>
      </c>
      <c r="D108">
        <v>1253.6099999999999</v>
      </c>
      <c r="E108">
        <v>1230.7</v>
      </c>
      <c r="F108">
        <v>1248.96</v>
      </c>
      <c r="G108">
        <v>1249.19</v>
      </c>
      <c r="H108">
        <v>276615</v>
      </c>
      <c r="I108" s="2">
        <v>1.2999999999999999E-3</v>
      </c>
      <c r="J108">
        <v>1817.212</v>
      </c>
      <c r="K108">
        <v>1.6</v>
      </c>
      <c r="L108" t="s">
        <v>12</v>
      </c>
    </row>
    <row r="109" spans="1:12" x14ac:dyDescent="0.25">
      <c r="A109" s="1">
        <v>45754</v>
      </c>
      <c r="B109" t="s">
        <v>15</v>
      </c>
      <c r="C109">
        <v>1945.42</v>
      </c>
      <c r="D109">
        <v>1964.05</v>
      </c>
      <c r="E109">
        <v>1931.67</v>
      </c>
      <c r="F109">
        <v>1945.3</v>
      </c>
      <c r="G109">
        <v>1944.9</v>
      </c>
      <c r="H109">
        <v>440559</v>
      </c>
      <c r="I109" s="2">
        <v>-1E-4</v>
      </c>
      <c r="J109">
        <v>1819.204</v>
      </c>
      <c r="K109">
        <v>-0.12</v>
      </c>
      <c r="L109" t="s">
        <v>14</v>
      </c>
    </row>
    <row r="110" spans="1:12" x14ac:dyDescent="0.25">
      <c r="A110" s="1">
        <v>45754</v>
      </c>
      <c r="B110" t="s">
        <v>16</v>
      </c>
      <c r="C110">
        <v>665.51</v>
      </c>
      <c r="D110">
        <v>674.41</v>
      </c>
      <c r="E110">
        <v>649.66</v>
      </c>
      <c r="F110">
        <v>655.75</v>
      </c>
      <c r="G110">
        <v>655.73</v>
      </c>
      <c r="H110">
        <v>251407</v>
      </c>
      <c r="I110" s="2">
        <v>-1.47E-2</v>
      </c>
      <c r="J110">
        <v>1821.9480000000001</v>
      </c>
      <c r="K110">
        <v>-9.76</v>
      </c>
      <c r="L110" t="s">
        <v>14</v>
      </c>
    </row>
    <row r="111" spans="1:12" x14ac:dyDescent="0.25">
      <c r="A111" s="1">
        <v>45754</v>
      </c>
      <c r="B111" t="s">
        <v>17</v>
      </c>
      <c r="C111">
        <v>2359.2800000000002</v>
      </c>
      <c r="D111">
        <v>2374.15</v>
      </c>
      <c r="E111">
        <v>2339.29</v>
      </c>
      <c r="F111">
        <v>2358.1999999999998</v>
      </c>
      <c r="G111">
        <v>2356.39</v>
      </c>
      <c r="H111">
        <v>199996</v>
      </c>
      <c r="I111" s="2">
        <v>-5.0000000000000001E-4</v>
      </c>
      <c r="J111">
        <v>1827.12</v>
      </c>
      <c r="K111">
        <v>-1.08</v>
      </c>
      <c r="L111" t="s">
        <v>14</v>
      </c>
    </row>
    <row r="112" spans="1:12" x14ac:dyDescent="0.25">
      <c r="A112" s="1">
        <v>45755</v>
      </c>
      <c r="B112" t="s">
        <v>11</v>
      </c>
      <c r="C112">
        <v>2880.98</v>
      </c>
      <c r="D112">
        <v>2889.4</v>
      </c>
      <c r="E112">
        <v>2869.57</v>
      </c>
      <c r="F112">
        <v>2877.85</v>
      </c>
      <c r="G112">
        <v>2879.12</v>
      </c>
      <c r="H112">
        <v>180215</v>
      </c>
      <c r="I112" s="2">
        <v>-1.1000000000000001E-3</v>
      </c>
      <c r="J112">
        <v>1829.212</v>
      </c>
      <c r="K112">
        <v>-3.13</v>
      </c>
      <c r="L112" t="s">
        <v>14</v>
      </c>
    </row>
    <row r="113" spans="1:12" x14ac:dyDescent="0.25">
      <c r="A113" s="1">
        <v>45755</v>
      </c>
      <c r="B113" t="s">
        <v>13</v>
      </c>
      <c r="C113">
        <v>1262.58</v>
      </c>
      <c r="D113">
        <v>1269.25</v>
      </c>
      <c r="E113">
        <v>1250.19</v>
      </c>
      <c r="F113">
        <v>1258.92</v>
      </c>
      <c r="G113">
        <v>1256.97</v>
      </c>
      <c r="H113">
        <v>407359</v>
      </c>
      <c r="I113" s="2">
        <v>-2.8999999999999998E-3</v>
      </c>
      <c r="J113">
        <v>1826.43</v>
      </c>
      <c r="K113">
        <v>-3.66</v>
      </c>
      <c r="L113" t="s">
        <v>14</v>
      </c>
    </row>
    <row r="114" spans="1:12" x14ac:dyDescent="0.25">
      <c r="A114" s="1">
        <v>45755</v>
      </c>
      <c r="B114" t="s">
        <v>15</v>
      </c>
      <c r="C114">
        <v>1962.54</v>
      </c>
      <c r="D114">
        <v>1969.84</v>
      </c>
      <c r="E114">
        <v>1948.75</v>
      </c>
      <c r="F114">
        <v>1959.02</v>
      </c>
      <c r="G114">
        <v>1959.04</v>
      </c>
      <c r="H114">
        <v>463926</v>
      </c>
      <c r="I114" s="2">
        <v>-1.8E-3</v>
      </c>
      <c r="J114">
        <v>1824.0360000000001</v>
      </c>
      <c r="K114">
        <v>-3.52</v>
      </c>
      <c r="L114" t="s">
        <v>14</v>
      </c>
    </row>
    <row r="115" spans="1:12" x14ac:dyDescent="0.25">
      <c r="A115" s="1">
        <v>45755</v>
      </c>
      <c r="B115" t="s">
        <v>16</v>
      </c>
      <c r="C115">
        <v>677.82</v>
      </c>
      <c r="D115">
        <v>695.59</v>
      </c>
      <c r="E115">
        <v>665.39</v>
      </c>
      <c r="F115">
        <v>681.61</v>
      </c>
      <c r="G115">
        <v>681.53</v>
      </c>
      <c r="H115">
        <v>373364</v>
      </c>
      <c r="I115" s="2">
        <v>5.5999999999999999E-3</v>
      </c>
      <c r="J115">
        <v>1822.982</v>
      </c>
      <c r="K115">
        <v>3.79</v>
      </c>
      <c r="L115" t="s">
        <v>12</v>
      </c>
    </row>
    <row r="116" spans="1:12" x14ac:dyDescent="0.25">
      <c r="A116" s="1">
        <v>45755</v>
      </c>
      <c r="B116" t="s">
        <v>17</v>
      </c>
      <c r="C116">
        <v>2366.36</v>
      </c>
      <c r="D116">
        <v>2384.42</v>
      </c>
      <c r="E116">
        <v>2349.62</v>
      </c>
      <c r="F116">
        <v>2368.66</v>
      </c>
      <c r="G116">
        <v>2368.9299999999998</v>
      </c>
      <c r="H116">
        <v>299384</v>
      </c>
      <c r="I116" s="2">
        <v>1E-3</v>
      </c>
      <c r="J116">
        <v>1825.52</v>
      </c>
      <c r="K116">
        <v>2.2999999999999998</v>
      </c>
      <c r="L116" t="s">
        <v>12</v>
      </c>
    </row>
    <row r="117" spans="1:12" x14ac:dyDescent="0.25">
      <c r="A117" s="1">
        <v>45756</v>
      </c>
      <c r="B117" t="s">
        <v>11</v>
      </c>
      <c r="C117">
        <v>2861.45</v>
      </c>
      <c r="D117">
        <v>2869.78</v>
      </c>
      <c r="E117">
        <v>2854.65</v>
      </c>
      <c r="F117">
        <v>2863.94</v>
      </c>
      <c r="G117">
        <v>2863.29</v>
      </c>
      <c r="H117">
        <v>312532</v>
      </c>
      <c r="I117" s="2">
        <v>8.9999999999999998E-4</v>
      </c>
      <c r="J117">
        <v>1826.7860000000001</v>
      </c>
      <c r="K117">
        <v>2.4900000000000002</v>
      </c>
      <c r="L117" t="s">
        <v>12</v>
      </c>
    </row>
    <row r="118" spans="1:12" x14ac:dyDescent="0.25">
      <c r="A118" s="1">
        <v>45756</v>
      </c>
      <c r="B118" t="s">
        <v>13</v>
      </c>
      <c r="C118">
        <v>1247.18</v>
      </c>
      <c r="D118">
        <v>1253.96</v>
      </c>
      <c r="E118">
        <v>1240.42</v>
      </c>
      <c r="F118">
        <v>1246.95</v>
      </c>
      <c r="G118">
        <v>1247.55</v>
      </c>
      <c r="H118">
        <v>452631</v>
      </c>
      <c r="I118" s="2">
        <v>-2.0000000000000001E-4</v>
      </c>
      <c r="J118">
        <v>1831.404</v>
      </c>
      <c r="K118">
        <v>-0.23</v>
      </c>
      <c r="L118" t="s">
        <v>14</v>
      </c>
    </row>
    <row r="119" spans="1:12" x14ac:dyDescent="0.25">
      <c r="A119" s="1">
        <v>45756</v>
      </c>
      <c r="B119" t="s">
        <v>15</v>
      </c>
      <c r="C119">
        <v>1953.97</v>
      </c>
      <c r="D119">
        <v>1972.05</v>
      </c>
      <c r="E119">
        <v>1934.99</v>
      </c>
      <c r="F119">
        <v>1953.75</v>
      </c>
      <c r="G119">
        <v>1954.01</v>
      </c>
      <c r="H119">
        <v>342446</v>
      </c>
      <c r="I119" s="2">
        <v>-1E-4</v>
      </c>
      <c r="J119">
        <v>1836.2660000000001</v>
      </c>
      <c r="K119">
        <v>-0.22</v>
      </c>
      <c r="L119" t="s">
        <v>14</v>
      </c>
    </row>
    <row r="120" spans="1:12" x14ac:dyDescent="0.25">
      <c r="A120" s="1">
        <v>45756</v>
      </c>
      <c r="B120" t="s">
        <v>16</v>
      </c>
      <c r="C120">
        <v>695.06</v>
      </c>
      <c r="D120">
        <v>705.28</v>
      </c>
      <c r="E120">
        <v>679.89</v>
      </c>
      <c r="F120">
        <v>694.3</v>
      </c>
      <c r="G120">
        <v>694.56</v>
      </c>
      <c r="H120">
        <v>123379</v>
      </c>
      <c r="I120" s="2">
        <v>-1.1000000000000001E-3</v>
      </c>
      <c r="J120">
        <v>1838.7339999999999</v>
      </c>
      <c r="K120">
        <v>-0.76</v>
      </c>
      <c r="L120" t="s">
        <v>14</v>
      </c>
    </row>
    <row r="121" spans="1:12" x14ac:dyDescent="0.25">
      <c r="A121" s="1">
        <v>45756</v>
      </c>
      <c r="B121" t="s">
        <v>17</v>
      </c>
      <c r="C121">
        <v>2372.64</v>
      </c>
      <c r="D121">
        <v>2383.6999999999998</v>
      </c>
      <c r="E121">
        <v>2362.73</v>
      </c>
      <c r="F121">
        <v>2374.9899999999998</v>
      </c>
      <c r="G121">
        <v>2375.66</v>
      </c>
      <c r="H121">
        <v>323905</v>
      </c>
      <c r="I121" s="2">
        <v>1E-3</v>
      </c>
      <c r="J121">
        <v>1837.49</v>
      </c>
      <c r="K121">
        <v>2.35</v>
      </c>
      <c r="L121" t="s">
        <v>12</v>
      </c>
    </row>
    <row r="122" spans="1:12" x14ac:dyDescent="0.25">
      <c r="A122" s="1">
        <v>45757</v>
      </c>
      <c r="B122" t="s">
        <v>11</v>
      </c>
      <c r="C122">
        <v>2886.39</v>
      </c>
      <c r="D122">
        <v>2899.17</v>
      </c>
      <c r="E122">
        <v>2870.84</v>
      </c>
      <c r="F122">
        <v>2887.03</v>
      </c>
      <c r="G122">
        <v>2886.48</v>
      </c>
      <c r="H122">
        <v>335254</v>
      </c>
      <c r="I122" s="2">
        <v>2.0000000000000001E-4</v>
      </c>
      <c r="J122">
        <v>1838.3320000000001</v>
      </c>
      <c r="K122">
        <v>0.64</v>
      </c>
      <c r="L122" t="s">
        <v>12</v>
      </c>
    </row>
    <row r="123" spans="1:12" x14ac:dyDescent="0.25">
      <c r="A123" s="1">
        <v>45757</v>
      </c>
      <c r="B123" t="s">
        <v>13</v>
      </c>
      <c r="C123">
        <v>1259.19</v>
      </c>
      <c r="D123">
        <v>1278.6199999999999</v>
      </c>
      <c r="E123">
        <v>1248.57</v>
      </c>
      <c r="F123">
        <v>1271.26</v>
      </c>
      <c r="G123">
        <v>1270.4000000000001</v>
      </c>
      <c r="H123">
        <v>342333</v>
      </c>
      <c r="I123" s="2">
        <v>9.5999999999999992E-3</v>
      </c>
      <c r="J123">
        <v>1836.838</v>
      </c>
      <c r="K123">
        <v>12.07</v>
      </c>
      <c r="L123" t="s">
        <v>12</v>
      </c>
    </row>
    <row r="124" spans="1:12" x14ac:dyDescent="0.25">
      <c r="A124" s="1">
        <v>45757</v>
      </c>
      <c r="B124" t="s">
        <v>15</v>
      </c>
      <c r="C124">
        <v>1960.81</v>
      </c>
      <c r="D124">
        <v>1976.42</v>
      </c>
      <c r="E124">
        <v>1953.52</v>
      </c>
      <c r="F124">
        <v>1966.09</v>
      </c>
      <c r="G124">
        <v>1966.4</v>
      </c>
      <c r="H124">
        <v>431887</v>
      </c>
      <c r="I124" s="2">
        <v>2.7000000000000001E-3</v>
      </c>
      <c r="J124">
        <v>1834.5840000000001</v>
      </c>
      <c r="K124">
        <v>5.28</v>
      </c>
      <c r="L124" t="s">
        <v>12</v>
      </c>
    </row>
    <row r="125" spans="1:12" x14ac:dyDescent="0.25">
      <c r="A125" s="1">
        <v>45757</v>
      </c>
      <c r="B125" t="s">
        <v>16</v>
      </c>
      <c r="C125">
        <v>688.84</v>
      </c>
      <c r="D125">
        <v>705.8</v>
      </c>
      <c r="E125">
        <v>673.96</v>
      </c>
      <c r="F125">
        <v>688.08</v>
      </c>
      <c r="G125">
        <v>689.48</v>
      </c>
      <c r="H125">
        <v>261274</v>
      </c>
      <c r="I125" s="2">
        <v>-1.1000000000000001E-3</v>
      </c>
      <c r="J125">
        <v>1831.4739999999999</v>
      </c>
      <c r="K125">
        <v>-0.76</v>
      </c>
      <c r="L125" t="s">
        <v>14</v>
      </c>
    </row>
    <row r="126" spans="1:12" x14ac:dyDescent="0.25">
      <c r="A126" s="1">
        <v>45757</v>
      </c>
      <c r="B126" t="s">
        <v>17</v>
      </c>
      <c r="C126">
        <v>2372.9699999999998</v>
      </c>
      <c r="D126">
        <v>2389.94</v>
      </c>
      <c r="E126">
        <v>2361.44</v>
      </c>
      <c r="F126">
        <v>2379.1999999999998</v>
      </c>
      <c r="G126">
        <v>2380.4699999999998</v>
      </c>
      <c r="H126">
        <v>179406</v>
      </c>
      <c r="I126" s="2">
        <v>2.5999999999999999E-3</v>
      </c>
      <c r="J126">
        <v>1832.1959999999999</v>
      </c>
      <c r="K126">
        <v>6.23</v>
      </c>
      <c r="L126" t="s">
        <v>12</v>
      </c>
    </row>
    <row r="127" spans="1:12" x14ac:dyDescent="0.25">
      <c r="A127" s="1">
        <v>45758</v>
      </c>
      <c r="B127" t="s">
        <v>11</v>
      </c>
      <c r="C127">
        <v>2887.81</v>
      </c>
      <c r="D127">
        <v>2897.32</v>
      </c>
      <c r="E127">
        <v>2878.54</v>
      </c>
      <c r="F127">
        <v>2879.56</v>
      </c>
      <c r="G127">
        <v>2877.71</v>
      </c>
      <c r="H127">
        <v>124956</v>
      </c>
      <c r="I127" s="2">
        <v>-2.8999999999999998E-3</v>
      </c>
      <c r="J127">
        <v>1828.49</v>
      </c>
      <c r="K127">
        <v>-8.25</v>
      </c>
      <c r="L127" t="s">
        <v>14</v>
      </c>
    </row>
    <row r="128" spans="1:12" x14ac:dyDescent="0.25">
      <c r="A128" s="1">
        <v>45758</v>
      </c>
      <c r="B128" t="s">
        <v>13</v>
      </c>
      <c r="C128">
        <v>1250.57</v>
      </c>
      <c r="D128">
        <v>1270.02</v>
      </c>
      <c r="E128">
        <v>1245.3900000000001</v>
      </c>
      <c r="F128">
        <v>1259.99</v>
      </c>
      <c r="G128">
        <v>1261.8699999999999</v>
      </c>
      <c r="H128">
        <v>467989</v>
      </c>
      <c r="I128" s="2">
        <v>7.4999999999999997E-3</v>
      </c>
      <c r="J128">
        <v>1832.42</v>
      </c>
      <c r="K128">
        <v>9.42</v>
      </c>
      <c r="L128" t="s">
        <v>12</v>
      </c>
    </row>
    <row r="129" spans="1:12" x14ac:dyDescent="0.25">
      <c r="A129" s="1">
        <v>45758</v>
      </c>
      <c r="B129" t="s">
        <v>15</v>
      </c>
      <c r="C129">
        <v>1942.59</v>
      </c>
      <c r="D129">
        <v>1958.64</v>
      </c>
      <c r="E129">
        <v>1923.57</v>
      </c>
      <c r="F129">
        <v>1950.54</v>
      </c>
      <c r="G129">
        <v>1952.24</v>
      </c>
      <c r="H129">
        <v>482161</v>
      </c>
      <c r="I129" s="2">
        <v>4.1000000000000003E-3</v>
      </c>
      <c r="J129">
        <v>1830.962</v>
      </c>
      <c r="K129">
        <v>7.95</v>
      </c>
      <c r="L129" t="s">
        <v>12</v>
      </c>
    </row>
    <row r="130" spans="1:12" x14ac:dyDescent="0.25">
      <c r="A130" s="1">
        <v>45758</v>
      </c>
      <c r="B130" t="s">
        <v>16</v>
      </c>
      <c r="C130">
        <v>687.06</v>
      </c>
      <c r="D130">
        <v>704.62</v>
      </c>
      <c r="E130">
        <v>671.6</v>
      </c>
      <c r="F130">
        <v>691.69</v>
      </c>
      <c r="G130">
        <v>692.41</v>
      </c>
      <c r="H130">
        <v>238356</v>
      </c>
      <c r="I130" s="2">
        <v>6.7000000000000002E-3</v>
      </c>
      <c r="J130">
        <v>1830.1679999999999</v>
      </c>
      <c r="K130">
        <v>4.63</v>
      </c>
      <c r="L130" t="s">
        <v>12</v>
      </c>
    </row>
    <row r="131" spans="1:12" x14ac:dyDescent="0.25">
      <c r="A131" s="1">
        <v>45758</v>
      </c>
      <c r="B131" t="s">
        <v>17</v>
      </c>
      <c r="C131">
        <v>2368.1999999999998</v>
      </c>
      <c r="D131">
        <v>2373.29</v>
      </c>
      <c r="E131">
        <v>2358.33</v>
      </c>
      <c r="F131">
        <v>2360.67</v>
      </c>
      <c r="G131">
        <v>2360.14</v>
      </c>
      <c r="H131">
        <v>475866</v>
      </c>
      <c r="I131" s="2">
        <v>-3.2000000000000002E-3</v>
      </c>
      <c r="J131">
        <v>1830.76</v>
      </c>
      <c r="K131">
        <v>-7.53</v>
      </c>
      <c r="L131" t="s">
        <v>14</v>
      </c>
    </row>
    <row r="132" spans="1:12" x14ac:dyDescent="0.25">
      <c r="A132" s="1">
        <v>45761</v>
      </c>
      <c r="B132" t="s">
        <v>11</v>
      </c>
      <c r="C132">
        <v>2888.6</v>
      </c>
      <c r="D132">
        <v>2894.37</v>
      </c>
      <c r="E132">
        <v>2879.42</v>
      </c>
      <c r="F132">
        <v>2899.21</v>
      </c>
      <c r="G132">
        <v>2900.84</v>
      </c>
      <c r="H132">
        <v>292994</v>
      </c>
      <c r="I132" s="2">
        <v>3.7000000000000002E-3</v>
      </c>
      <c r="J132">
        <v>1834.28</v>
      </c>
      <c r="K132">
        <v>10.61</v>
      </c>
      <c r="L132" t="s">
        <v>12</v>
      </c>
    </row>
    <row r="133" spans="1:12" x14ac:dyDescent="0.25">
      <c r="A133" s="1">
        <v>45761</v>
      </c>
      <c r="B133" t="s">
        <v>13</v>
      </c>
      <c r="C133">
        <v>1256.24</v>
      </c>
      <c r="D133">
        <v>1262.3499999999999</v>
      </c>
      <c r="E133">
        <v>1242.93</v>
      </c>
      <c r="F133">
        <v>1252.7</v>
      </c>
      <c r="G133">
        <v>1254.58</v>
      </c>
      <c r="H133">
        <v>346609</v>
      </c>
      <c r="I133" s="2">
        <v>-2.8E-3</v>
      </c>
      <c r="J133">
        <v>1829.722</v>
      </c>
      <c r="K133">
        <v>-3.54</v>
      </c>
      <c r="L133" t="s">
        <v>14</v>
      </c>
    </row>
    <row r="134" spans="1:12" x14ac:dyDescent="0.25">
      <c r="A134" s="1">
        <v>45761</v>
      </c>
      <c r="B134" t="s">
        <v>15</v>
      </c>
      <c r="C134">
        <v>1946.1</v>
      </c>
      <c r="D134">
        <v>1965.87</v>
      </c>
      <c r="E134">
        <v>1928.52</v>
      </c>
      <c r="F134">
        <v>1946.57</v>
      </c>
      <c r="G134">
        <v>1945.07</v>
      </c>
      <c r="H134">
        <v>455549</v>
      </c>
      <c r="I134" s="2">
        <v>2.0000000000000001E-4</v>
      </c>
      <c r="J134">
        <v>1835.3019999999999</v>
      </c>
      <c r="K134">
        <v>0.47</v>
      </c>
      <c r="L134" t="s">
        <v>12</v>
      </c>
    </row>
    <row r="135" spans="1:12" x14ac:dyDescent="0.25">
      <c r="A135" s="1">
        <v>45761</v>
      </c>
      <c r="B135" t="s">
        <v>16</v>
      </c>
      <c r="C135">
        <v>696.82</v>
      </c>
      <c r="D135">
        <v>704.2</v>
      </c>
      <c r="E135">
        <v>678.61</v>
      </c>
      <c r="F135">
        <v>694.65</v>
      </c>
      <c r="G135">
        <v>696.14</v>
      </c>
      <c r="H135">
        <v>220141</v>
      </c>
      <c r="I135" s="2">
        <v>-3.0999999999999999E-3</v>
      </c>
      <c r="J135">
        <v>1843.306</v>
      </c>
      <c r="K135">
        <v>-2.17</v>
      </c>
      <c r="L135" t="s">
        <v>14</v>
      </c>
    </row>
    <row r="136" spans="1:12" x14ac:dyDescent="0.25">
      <c r="A136" s="1">
        <v>45761</v>
      </c>
      <c r="B136" t="s">
        <v>17</v>
      </c>
      <c r="C136">
        <v>2382.9499999999998</v>
      </c>
      <c r="D136">
        <v>2393.7800000000002</v>
      </c>
      <c r="E136">
        <v>2371.2199999999998</v>
      </c>
      <c r="F136">
        <v>2378.27</v>
      </c>
      <c r="G136">
        <v>2377.2199999999998</v>
      </c>
      <c r="H136">
        <v>116832</v>
      </c>
      <c r="I136" s="2">
        <v>-2E-3</v>
      </c>
      <c r="J136">
        <v>1840.2760000000001</v>
      </c>
      <c r="K136">
        <v>-4.68</v>
      </c>
      <c r="L136" t="s">
        <v>14</v>
      </c>
    </row>
    <row r="137" spans="1:12" x14ac:dyDescent="0.25">
      <c r="A137" s="1">
        <v>45762</v>
      </c>
      <c r="B137" t="s">
        <v>11</v>
      </c>
      <c r="C137">
        <v>2882.25</v>
      </c>
      <c r="D137">
        <v>2894.59</v>
      </c>
      <c r="E137">
        <v>2862.47</v>
      </c>
      <c r="F137">
        <v>2876.42</v>
      </c>
      <c r="G137">
        <v>2875.39</v>
      </c>
      <c r="H137">
        <v>469445</v>
      </c>
      <c r="I137" s="2">
        <v>-2E-3</v>
      </c>
      <c r="J137">
        <v>1834.04</v>
      </c>
      <c r="K137">
        <v>-5.83</v>
      </c>
      <c r="L137" t="s">
        <v>14</v>
      </c>
    </row>
    <row r="138" spans="1:12" x14ac:dyDescent="0.25">
      <c r="A138" s="1">
        <v>45762</v>
      </c>
      <c r="B138" t="s">
        <v>13</v>
      </c>
      <c r="C138">
        <v>1276.76</v>
      </c>
      <c r="D138">
        <v>1292.2</v>
      </c>
      <c r="E138">
        <v>1264.94</v>
      </c>
      <c r="F138">
        <v>1280.5999999999999</v>
      </c>
      <c r="G138">
        <v>1281.1099999999999</v>
      </c>
      <c r="H138">
        <v>478246</v>
      </c>
      <c r="I138" s="2">
        <v>3.0000000000000001E-3</v>
      </c>
      <c r="J138">
        <v>1838.6579999999999</v>
      </c>
      <c r="K138">
        <v>3.84</v>
      </c>
      <c r="L138" t="s">
        <v>12</v>
      </c>
    </row>
    <row r="139" spans="1:12" x14ac:dyDescent="0.25">
      <c r="A139" s="1">
        <v>45762</v>
      </c>
      <c r="B139" t="s">
        <v>15</v>
      </c>
      <c r="C139">
        <v>1981.39</v>
      </c>
      <c r="D139">
        <v>1992.38</v>
      </c>
      <c r="E139">
        <v>1975.57</v>
      </c>
      <c r="F139">
        <v>1986.59</v>
      </c>
      <c r="G139">
        <v>1985.93</v>
      </c>
      <c r="H139">
        <v>316764</v>
      </c>
      <c r="I139" s="2">
        <v>2.5999999999999999E-3</v>
      </c>
      <c r="J139">
        <v>1834.912</v>
      </c>
      <c r="K139">
        <v>5.2</v>
      </c>
      <c r="L139" t="s">
        <v>12</v>
      </c>
    </row>
    <row r="140" spans="1:12" x14ac:dyDescent="0.25">
      <c r="A140" s="1">
        <v>45762</v>
      </c>
      <c r="B140" t="s">
        <v>16</v>
      </c>
      <c r="C140">
        <v>679.3</v>
      </c>
      <c r="D140">
        <v>695.45</v>
      </c>
      <c r="E140">
        <v>671.89</v>
      </c>
      <c r="F140">
        <v>679.5</v>
      </c>
      <c r="G140">
        <v>680.77</v>
      </c>
      <c r="H140">
        <v>331160</v>
      </c>
      <c r="I140" s="2">
        <v>2.9999999999999997E-4</v>
      </c>
      <c r="J140">
        <v>1824.5419999999999</v>
      </c>
      <c r="K140">
        <v>0.2</v>
      </c>
      <c r="L140" t="s">
        <v>12</v>
      </c>
    </row>
    <row r="141" spans="1:12" x14ac:dyDescent="0.25">
      <c r="A141" s="1">
        <v>45762</v>
      </c>
      <c r="B141" t="s">
        <v>17</v>
      </c>
      <c r="C141">
        <v>2354.0700000000002</v>
      </c>
      <c r="D141">
        <v>2360.17</v>
      </c>
      <c r="E141">
        <v>2340.02</v>
      </c>
      <c r="F141">
        <v>2347.09</v>
      </c>
      <c r="G141">
        <v>2347.7600000000002</v>
      </c>
      <c r="H141">
        <v>331121</v>
      </c>
      <c r="I141" s="2">
        <v>-3.0000000000000001E-3</v>
      </c>
      <c r="J141">
        <v>1826.1579999999999</v>
      </c>
      <c r="K141">
        <v>-6.98</v>
      </c>
      <c r="L141" t="s">
        <v>14</v>
      </c>
    </row>
    <row r="142" spans="1:12" x14ac:dyDescent="0.25">
      <c r="A142" s="1">
        <v>45763</v>
      </c>
      <c r="B142" t="s">
        <v>11</v>
      </c>
      <c r="C142">
        <v>2899.43</v>
      </c>
      <c r="D142">
        <v>2907.99</v>
      </c>
      <c r="E142">
        <v>2883.51</v>
      </c>
      <c r="F142">
        <v>2899.51</v>
      </c>
      <c r="G142">
        <v>2898.98</v>
      </c>
      <c r="H142">
        <v>332170</v>
      </c>
      <c r="I142" s="2">
        <v>0</v>
      </c>
      <c r="J142">
        <v>1830.2919999999999</v>
      </c>
      <c r="K142">
        <v>0.08</v>
      </c>
      <c r="L142" t="s">
        <v>12</v>
      </c>
    </row>
    <row r="143" spans="1:12" x14ac:dyDescent="0.25">
      <c r="A143" s="1">
        <v>45763</v>
      </c>
      <c r="B143" t="s">
        <v>13</v>
      </c>
      <c r="C143">
        <v>1262.72</v>
      </c>
      <c r="D143">
        <v>1268.4000000000001</v>
      </c>
      <c r="E143">
        <v>1253.51</v>
      </c>
      <c r="F143">
        <v>1261.8699999999999</v>
      </c>
      <c r="G143">
        <v>1263.67</v>
      </c>
      <c r="H143">
        <v>470110</v>
      </c>
      <c r="I143" s="2">
        <v>-6.9999999999999999E-4</v>
      </c>
      <c r="J143">
        <v>1832.8620000000001</v>
      </c>
      <c r="K143">
        <v>-0.85</v>
      </c>
      <c r="L143" t="s">
        <v>14</v>
      </c>
    </row>
    <row r="144" spans="1:12" x14ac:dyDescent="0.25">
      <c r="A144" s="1">
        <v>45763</v>
      </c>
      <c r="B144" t="s">
        <v>15</v>
      </c>
      <c r="C144">
        <v>1945.88</v>
      </c>
      <c r="D144">
        <v>1958.94</v>
      </c>
      <c r="E144">
        <v>1927.08</v>
      </c>
      <c r="F144">
        <v>1934.74</v>
      </c>
      <c r="G144">
        <v>1934.13</v>
      </c>
      <c r="H144">
        <v>475984</v>
      </c>
      <c r="I144" s="2">
        <v>-5.7000000000000002E-3</v>
      </c>
      <c r="J144">
        <v>1832.556</v>
      </c>
      <c r="K144">
        <v>-11.14</v>
      </c>
      <c r="L144" t="s">
        <v>14</v>
      </c>
    </row>
    <row r="145" spans="1:12" x14ac:dyDescent="0.25">
      <c r="A145" s="1">
        <v>45763</v>
      </c>
      <c r="B145" t="s">
        <v>16</v>
      </c>
      <c r="C145">
        <v>683.29</v>
      </c>
      <c r="D145">
        <v>688.39</v>
      </c>
      <c r="E145">
        <v>673.98</v>
      </c>
      <c r="F145">
        <v>687.58</v>
      </c>
      <c r="G145">
        <v>688.05</v>
      </c>
      <c r="H145">
        <v>210931</v>
      </c>
      <c r="I145" s="2">
        <v>6.3E-3</v>
      </c>
      <c r="J145">
        <v>1838.87</v>
      </c>
      <c r="K145">
        <v>4.29</v>
      </c>
      <c r="L145" t="s">
        <v>12</v>
      </c>
    </row>
    <row r="146" spans="1:12" x14ac:dyDescent="0.25">
      <c r="A146" s="1">
        <v>45763</v>
      </c>
      <c r="B146" t="s">
        <v>17</v>
      </c>
      <c r="C146">
        <v>2360.12</v>
      </c>
      <c r="D146">
        <v>2370.8200000000002</v>
      </c>
      <c r="E146">
        <v>2342.17</v>
      </c>
      <c r="F146">
        <v>2367.7600000000002</v>
      </c>
      <c r="G146">
        <v>2367.84</v>
      </c>
      <c r="H146">
        <v>175933</v>
      </c>
      <c r="I146" s="2">
        <v>3.2000000000000002E-3</v>
      </c>
      <c r="J146">
        <v>1837.5319999999999</v>
      </c>
      <c r="K146">
        <v>7.64</v>
      </c>
      <c r="L146" t="s">
        <v>12</v>
      </c>
    </row>
    <row r="147" spans="1:12" x14ac:dyDescent="0.25">
      <c r="A147" s="1">
        <v>45764</v>
      </c>
      <c r="B147" t="s">
        <v>11</v>
      </c>
      <c r="C147">
        <v>2902.05</v>
      </c>
      <c r="D147">
        <v>2915.09</v>
      </c>
      <c r="E147">
        <v>2895.7</v>
      </c>
      <c r="F147">
        <v>2912.36</v>
      </c>
      <c r="G147">
        <v>2913.7</v>
      </c>
      <c r="H147">
        <v>348322</v>
      </c>
      <c r="I147" s="2">
        <v>3.5999999999999999E-3</v>
      </c>
      <c r="J147">
        <v>1836.394</v>
      </c>
      <c r="K147">
        <v>10.31</v>
      </c>
      <c r="L147" t="s">
        <v>12</v>
      </c>
    </row>
    <row r="148" spans="1:12" x14ac:dyDescent="0.25">
      <c r="A148" s="1">
        <v>45764</v>
      </c>
      <c r="B148" t="s">
        <v>13</v>
      </c>
      <c r="C148">
        <v>1252.8900000000001</v>
      </c>
      <c r="D148">
        <v>1267.19</v>
      </c>
      <c r="E148">
        <v>1243.73</v>
      </c>
      <c r="F148">
        <v>1260.3399999999999</v>
      </c>
      <c r="G148">
        <v>1259.0899999999999</v>
      </c>
      <c r="H148">
        <v>345956</v>
      </c>
      <c r="I148" s="2">
        <v>5.8999999999999999E-3</v>
      </c>
      <c r="J148">
        <v>1828.1479999999999</v>
      </c>
      <c r="K148">
        <v>7.45</v>
      </c>
      <c r="L148" t="s">
        <v>12</v>
      </c>
    </row>
    <row r="149" spans="1:12" x14ac:dyDescent="0.25">
      <c r="A149" s="1">
        <v>45764</v>
      </c>
      <c r="B149" t="s">
        <v>15</v>
      </c>
      <c r="C149">
        <v>1968.7</v>
      </c>
      <c r="D149">
        <v>1980.48</v>
      </c>
      <c r="E149">
        <v>1960.33</v>
      </c>
      <c r="F149">
        <v>1966.31</v>
      </c>
      <c r="G149">
        <v>1966.12</v>
      </c>
      <c r="H149">
        <v>192930</v>
      </c>
      <c r="I149" s="2">
        <v>-1.1999999999999999E-3</v>
      </c>
      <c r="J149">
        <v>1822.864</v>
      </c>
      <c r="K149">
        <v>-2.39</v>
      </c>
      <c r="L149" t="s">
        <v>14</v>
      </c>
    </row>
    <row r="150" spans="1:12" x14ac:dyDescent="0.25">
      <c r="A150" s="1">
        <v>45764</v>
      </c>
      <c r="B150" t="s">
        <v>16</v>
      </c>
      <c r="C150">
        <v>683.25</v>
      </c>
      <c r="D150">
        <v>692.15</v>
      </c>
      <c r="E150">
        <v>668.74</v>
      </c>
      <c r="F150">
        <v>680.89</v>
      </c>
      <c r="G150">
        <v>681.05</v>
      </c>
      <c r="H150">
        <v>138151</v>
      </c>
      <c r="I150" s="2">
        <v>-3.5000000000000001E-3</v>
      </c>
      <c r="J150">
        <v>1820.1579999999999</v>
      </c>
      <c r="K150">
        <v>-2.36</v>
      </c>
      <c r="L150" t="s">
        <v>14</v>
      </c>
    </row>
    <row r="151" spans="1:12" x14ac:dyDescent="0.25">
      <c r="A151" s="1">
        <v>45764</v>
      </c>
      <c r="B151" t="s">
        <v>17</v>
      </c>
      <c r="C151">
        <v>2362.46</v>
      </c>
      <c r="D151">
        <v>2372.58</v>
      </c>
      <c r="E151">
        <v>2351.7600000000002</v>
      </c>
      <c r="F151">
        <v>2362.0700000000002</v>
      </c>
      <c r="G151">
        <v>2361.67</v>
      </c>
      <c r="H151">
        <v>299661</v>
      </c>
      <c r="I151" s="2">
        <v>-2.0000000000000001E-4</v>
      </c>
      <c r="J151">
        <v>1820.5139999999999</v>
      </c>
      <c r="K151">
        <v>-0.39</v>
      </c>
      <c r="L151" t="s">
        <v>14</v>
      </c>
    </row>
    <row r="152" spans="1:12" x14ac:dyDescent="0.25">
      <c r="A152" s="1">
        <v>45765</v>
      </c>
      <c r="B152" t="s">
        <v>11</v>
      </c>
      <c r="C152">
        <v>2878.09</v>
      </c>
      <c r="D152">
        <v>2883.7</v>
      </c>
      <c r="E152">
        <v>2864.23</v>
      </c>
      <c r="F152">
        <v>2871.13</v>
      </c>
      <c r="G152">
        <v>2871.84</v>
      </c>
      <c r="H152">
        <v>482530</v>
      </c>
      <c r="I152" s="2">
        <v>-2.3999999999999998E-3</v>
      </c>
      <c r="J152">
        <v>1825.75</v>
      </c>
      <c r="K152">
        <v>-6.96</v>
      </c>
      <c r="L152" t="s">
        <v>14</v>
      </c>
    </row>
    <row r="153" spans="1:12" x14ac:dyDescent="0.25">
      <c r="A153" s="1">
        <v>45765</v>
      </c>
      <c r="B153" t="s">
        <v>13</v>
      </c>
      <c r="C153">
        <v>1232.76</v>
      </c>
      <c r="D153">
        <v>1246.51</v>
      </c>
      <c r="E153">
        <v>1226.5899999999999</v>
      </c>
      <c r="F153">
        <v>1233.92</v>
      </c>
      <c r="G153">
        <v>1235.82</v>
      </c>
      <c r="H153">
        <v>161686</v>
      </c>
      <c r="I153" s="2">
        <v>8.9999999999999998E-4</v>
      </c>
      <c r="J153">
        <v>1828.1479999999999</v>
      </c>
      <c r="K153">
        <v>1.1599999999999999</v>
      </c>
      <c r="L153" t="s">
        <v>12</v>
      </c>
    </row>
    <row r="154" spans="1:12" x14ac:dyDescent="0.25">
      <c r="A154" s="1">
        <v>45765</v>
      </c>
      <c r="B154" t="s">
        <v>15</v>
      </c>
      <c r="C154">
        <v>1953.54</v>
      </c>
      <c r="D154">
        <v>1966.02</v>
      </c>
      <c r="E154">
        <v>1942.26</v>
      </c>
      <c r="F154">
        <v>1952.78</v>
      </c>
      <c r="G154">
        <v>1954.44</v>
      </c>
      <c r="H154">
        <v>209822</v>
      </c>
      <c r="I154" s="2">
        <v>-4.0000000000000002E-4</v>
      </c>
      <c r="J154">
        <v>1828.894</v>
      </c>
      <c r="K154">
        <v>-0.76</v>
      </c>
      <c r="L154" t="s">
        <v>14</v>
      </c>
    </row>
    <row r="155" spans="1:12" x14ac:dyDescent="0.25">
      <c r="A155" s="1">
        <v>45765</v>
      </c>
      <c r="B155" t="s">
        <v>16</v>
      </c>
      <c r="C155">
        <v>679.92</v>
      </c>
      <c r="D155">
        <v>696.34</v>
      </c>
      <c r="E155">
        <v>666.8</v>
      </c>
      <c r="F155">
        <v>682.67</v>
      </c>
      <c r="G155">
        <v>684.52</v>
      </c>
      <c r="H155">
        <v>320034</v>
      </c>
      <c r="I155" s="2">
        <v>4.0000000000000001E-3</v>
      </c>
      <c r="J155">
        <v>1830.7819999999999</v>
      </c>
      <c r="K155">
        <v>2.75</v>
      </c>
      <c r="L155" t="s">
        <v>12</v>
      </c>
    </row>
    <row r="156" spans="1:12" x14ac:dyDescent="0.25">
      <c r="A156" s="1">
        <v>45765</v>
      </c>
      <c r="B156" t="s">
        <v>17</v>
      </c>
      <c r="C156">
        <v>2377.23</v>
      </c>
      <c r="D156">
        <v>2391.35</v>
      </c>
      <c r="E156">
        <v>2360.7600000000002</v>
      </c>
      <c r="F156">
        <v>2388.25</v>
      </c>
      <c r="G156">
        <v>2389.5</v>
      </c>
      <c r="H156">
        <v>142158</v>
      </c>
      <c r="I156" s="2">
        <v>4.5999999999999999E-3</v>
      </c>
      <c r="J156">
        <v>1833.068</v>
      </c>
      <c r="K156">
        <v>11.02</v>
      </c>
      <c r="L156" t="s">
        <v>12</v>
      </c>
    </row>
    <row r="157" spans="1:12" x14ac:dyDescent="0.25">
      <c r="A157" s="1">
        <v>45768</v>
      </c>
      <c r="B157" t="s">
        <v>11</v>
      </c>
      <c r="C157">
        <v>2888.09</v>
      </c>
      <c r="D157">
        <v>2896.49</v>
      </c>
      <c r="E157">
        <v>2873.41</v>
      </c>
      <c r="F157">
        <v>2883.12</v>
      </c>
      <c r="G157">
        <v>2881.82</v>
      </c>
      <c r="H157">
        <v>304825</v>
      </c>
      <c r="I157" s="2">
        <v>-1.6999999999999999E-3</v>
      </c>
      <c r="J157">
        <v>1830.0060000000001</v>
      </c>
      <c r="K157">
        <v>-4.97</v>
      </c>
      <c r="L157" t="s">
        <v>14</v>
      </c>
    </row>
    <row r="158" spans="1:12" x14ac:dyDescent="0.25">
      <c r="A158" s="1">
        <v>45768</v>
      </c>
      <c r="B158" t="s">
        <v>13</v>
      </c>
      <c r="C158">
        <v>1234.8699999999999</v>
      </c>
      <c r="D158">
        <v>1252.08</v>
      </c>
      <c r="E158">
        <v>1219.5999999999999</v>
      </c>
      <c r="F158">
        <v>1237.6500000000001</v>
      </c>
      <c r="G158">
        <v>1236.3</v>
      </c>
      <c r="H158">
        <v>495375</v>
      </c>
      <c r="I158" s="2">
        <v>2.3E-3</v>
      </c>
      <c r="J158">
        <v>1831.8920000000001</v>
      </c>
      <c r="K158">
        <v>2.78</v>
      </c>
      <c r="L158" t="s">
        <v>12</v>
      </c>
    </row>
    <row r="159" spans="1:12" x14ac:dyDescent="0.25">
      <c r="A159" s="1">
        <v>45768</v>
      </c>
      <c r="B159" t="s">
        <v>15</v>
      </c>
      <c r="C159">
        <v>1966.8</v>
      </c>
      <c r="D159">
        <v>1981.28</v>
      </c>
      <c r="E159">
        <v>1961.6</v>
      </c>
      <c r="F159">
        <v>1962.22</v>
      </c>
      <c r="G159">
        <v>1962.87</v>
      </c>
      <c r="H159">
        <v>306440</v>
      </c>
      <c r="I159" s="2">
        <v>-2.3E-3</v>
      </c>
      <c r="J159">
        <v>1834.454</v>
      </c>
      <c r="K159">
        <v>-4.58</v>
      </c>
      <c r="L159" t="s">
        <v>14</v>
      </c>
    </row>
    <row r="160" spans="1:12" x14ac:dyDescent="0.25">
      <c r="A160" s="1">
        <v>45768</v>
      </c>
      <c r="B160" t="s">
        <v>16</v>
      </c>
      <c r="C160">
        <v>695.09</v>
      </c>
      <c r="D160">
        <v>714.07</v>
      </c>
      <c r="E160">
        <v>688.55</v>
      </c>
      <c r="F160">
        <v>694.1</v>
      </c>
      <c r="G160">
        <v>695.85</v>
      </c>
      <c r="H160">
        <v>463704</v>
      </c>
      <c r="I160" s="2">
        <v>-1.4E-3</v>
      </c>
      <c r="J160">
        <v>1830.1980000000001</v>
      </c>
      <c r="K160">
        <v>-0.99</v>
      </c>
      <c r="L160" t="s">
        <v>14</v>
      </c>
    </row>
    <row r="161" spans="1:12" x14ac:dyDescent="0.25">
      <c r="A161" s="1">
        <v>45768</v>
      </c>
      <c r="B161" t="s">
        <v>17</v>
      </c>
      <c r="C161">
        <v>2364.4699999999998</v>
      </c>
      <c r="D161">
        <v>2383.38</v>
      </c>
      <c r="E161">
        <v>2358.5700000000002</v>
      </c>
      <c r="F161">
        <v>2372.94</v>
      </c>
      <c r="G161">
        <v>2374.6799999999998</v>
      </c>
      <c r="H161">
        <v>144913</v>
      </c>
      <c r="I161" s="2">
        <v>3.5999999999999999E-3</v>
      </c>
      <c r="J161">
        <v>1826.67</v>
      </c>
      <c r="K161">
        <v>8.4700000000000006</v>
      </c>
      <c r="L161" t="s">
        <v>12</v>
      </c>
    </row>
    <row r="162" spans="1:12" x14ac:dyDescent="0.25">
      <c r="A162" s="1">
        <v>45769</v>
      </c>
      <c r="B162" t="s">
        <v>11</v>
      </c>
      <c r="C162">
        <v>2878.81</v>
      </c>
      <c r="D162">
        <v>2897.86</v>
      </c>
      <c r="E162">
        <v>2871.75</v>
      </c>
      <c r="F162">
        <v>2892.55</v>
      </c>
      <c r="G162">
        <v>2891.91</v>
      </c>
      <c r="H162">
        <v>320916</v>
      </c>
      <c r="I162" s="2">
        <v>4.7999999999999996E-3</v>
      </c>
      <c r="J162">
        <v>1824.038</v>
      </c>
      <c r="K162">
        <v>13.74</v>
      </c>
      <c r="L162" t="s">
        <v>12</v>
      </c>
    </row>
    <row r="163" spans="1:12" x14ac:dyDescent="0.25">
      <c r="A163" s="1">
        <v>45769</v>
      </c>
      <c r="B163" t="s">
        <v>13</v>
      </c>
      <c r="C163">
        <v>1240.8</v>
      </c>
      <c r="D163">
        <v>1259.79</v>
      </c>
      <c r="E163">
        <v>1222.81</v>
      </c>
      <c r="F163">
        <v>1250.46</v>
      </c>
      <c r="G163">
        <v>1248.6400000000001</v>
      </c>
      <c r="H163">
        <v>233458</v>
      </c>
      <c r="I163" s="2">
        <v>7.7999999999999996E-3</v>
      </c>
      <c r="J163">
        <v>1822.7339999999999</v>
      </c>
      <c r="K163">
        <v>9.66</v>
      </c>
      <c r="L163" t="s">
        <v>12</v>
      </c>
    </row>
    <row r="164" spans="1:12" x14ac:dyDescent="0.25">
      <c r="A164" s="1">
        <v>45769</v>
      </c>
      <c r="B164" t="s">
        <v>15</v>
      </c>
      <c r="C164">
        <v>1953.31</v>
      </c>
      <c r="D164">
        <v>1959.59</v>
      </c>
      <c r="E164">
        <v>1933.36</v>
      </c>
      <c r="F164">
        <v>1940.94</v>
      </c>
      <c r="G164">
        <v>1940.95</v>
      </c>
      <c r="H164">
        <v>380405</v>
      </c>
      <c r="I164" s="2">
        <v>-6.3E-3</v>
      </c>
      <c r="J164">
        <v>1822.7460000000001</v>
      </c>
      <c r="K164">
        <v>-12.37</v>
      </c>
      <c r="L164" t="s">
        <v>14</v>
      </c>
    </row>
    <row r="165" spans="1:12" x14ac:dyDescent="0.25">
      <c r="A165" s="1">
        <v>45769</v>
      </c>
      <c r="B165" t="s">
        <v>16</v>
      </c>
      <c r="C165">
        <v>678.54</v>
      </c>
      <c r="D165">
        <v>688.05</v>
      </c>
      <c r="E165">
        <v>662.92</v>
      </c>
      <c r="F165">
        <v>676.46</v>
      </c>
      <c r="G165">
        <v>674.73</v>
      </c>
      <c r="H165">
        <v>403488</v>
      </c>
      <c r="I165" s="2">
        <v>-3.0999999999999999E-3</v>
      </c>
      <c r="J165">
        <v>1825.3620000000001</v>
      </c>
      <c r="K165">
        <v>-2.08</v>
      </c>
      <c r="L165" t="s">
        <v>14</v>
      </c>
    </row>
    <row r="166" spans="1:12" x14ac:dyDescent="0.25">
      <c r="A166" s="1">
        <v>45769</v>
      </c>
      <c r="B166" t="s">
        <v>17</v>
      </c>
      <c r="C166">
        <v>2359.46</v>
      </c>
      <c r="D166">
        <v>2371.75</v>
      </c>
      <c r="E166">
        <v>2350.61</v>
      </c>
      <c r="F166">
        <v>2359.7800000000002</v>
      </c>
      <c r="G166">
        <v>2358.92</v>
      </c>
      <c r="H166">
        <v>363760</v>
      </c>
      <c r="I166" s="2">
        <v>1E-4</v>
      </c>
      <c r="J166">
        <v>1824.8779999999999</v>
      </c>
      <c r="K166">
        <v>0.32</v>
      </c>
      <c r="L166" t="s">
        <v>12</v>
      </c>
    </row>
    <row r="167" spans="1:12" x14ac:dyDescent="0.25">
      <c r="A167" s="1">
        <v>45770</v>
      </c>
      <c r="B167" t="s">
        <v>11</v>
      </c>
      <c r="C167">
        <v>2884.43</v>
      </c>
      <c r="D167">
        <v>2899.33</v>
      </c>
      <c r="E167">
        <v>2867.17</v>
      </c>
      <c r="F167">
        <v>2886.03</v>
      </c>
      <c r="G167">
        <v>2886.25</v>
      </c>
      <c r="H167">
        <v>425377</v>
      </c>
      <c r="I167" s="2">
        <v>5.9999999999999995E-4</v>
      </c>
      <c r="J167">
        <v>1827.9880000000001</v>
      </c>
      <c r="K167">
        <v>1.6</v>
      </c>
      <c r="L167" t="s">
        <v>12</v>
      </c>
    </row>
    <row r="168" spans="1:12" x14ac:dyDescent="0.25">
      <c r="A168" s="1">
        <v>45770</v>
      </c>
      <c r="B168" t="s">
        <v>13</v>
      </c>
      <c r="C168">
        <v>1253.26</v>
      </c>
      <c r="D168">
        <v>1270.42</v>
      </c>
      <c r="E168">
        <v>1233.45</v>
      </c>
      <c r="F168">
        <v>1250.52</v>
      </c>
      <c r="G168">
        <v>1249.1199999999999</v>
      </c>
      <c r="H168">
        <v>184015</v>
      </c>
      <c r="I168" s="2">
        <v>-2.2000000000000001E-3</v>
      </c>
      <c r="J168">
        <v>1824.146</v>
      </c>
      <c r="K168">
        <v>-2.74</v>
      </c>
      <c r="L168" t="s">
        <v>14</v>
      </c>
    </row>
    <row r="169" spans="1:12" x14ac:dyDescent="0.25">
      <c r="A169" s="1">
        <v>45770</v>
      </c>
      <c r="B169" t="s">
        <v>15</v>
      </c>
      <c r="C169">
        <v>1949.22</v>
      </c>
      <c r="D169">
        <v>1965.47</v>
      </c>
      <c r="E169">
        <v>1941.07</v>
      </c>
      <c r="F169">
        <v>1954.02</v>
      </c>
      <c r="G169">
        <v>1955.61</v>
      </c>
      <c r="H169">
        <v>471346</v>
      </c>
      <c r="I169" s="2">
        <v>2.5000000000000001E-3</v>
      </c>
      <c r="J169">
        <v>1822.962</v>
      </c>
      <c r="K169">
        <v>4.8</v>
      </c>
      <c r="L169" t="s">
        <v>12</v>
      </c>
    </row>
    <row r="170" spans="1:12" x14ac:dyDescent="0.25">
      <c r="A170" s="1">
        <v>45770</v>
      </c>
      <c r="B170" t="s">
        <v>16</v>
      </c>
      <c r="C170">
        <v>664.9</v>
      </c>
      <c r="D170">
        <v>679.21</v>
      </c>
      <c r="E170">
        <v>659.21</v>
      </c>
      <c r="F170">
        <v>674.04</v>
      </c>
      <c r="G170">
        <v>675.53</v>
      </c>
      <c r="H170">
        <v>179832</v>
      </c>
      <c r="I170" s="2">
        <v>1.37E-2</v>
      </c>
      <c r="J170">
        <v>1821.01</v>
      </c>
      <c r="K170">
        <v>9.14</v>
      </c>
      <c r="L170" t="s">
        <v>12</v>
      </c>
    </row>
    <row r="171" spans="1:12" x14ac:dyDescent="0.25">
      <c r="A171" s="1">
        <v>45770</v>
      </c>
      <c r="B171" t="s">
        <v>17</v>
      </c>
      <c r="C171">
        <v>2376.71</v>
      </c>
      <c r="D171">
        <v>2389.8000000000002</v>
      </c>
      <c r="E171">
        <v>2367.04</v>
      </c>
      <c r="F171">
        <v>2375.33</v>
      </c>
      <c r="G171">
        <v>2375.77</v>
      </c>
      <c r="H171">
        <v>171855</v>
      </c>
      <c r="I171" s="2">
        <v>-5.9999999999999995E-4</v>
      </c>
      <c r="J171">
        <v>1823.162</v>
      </c>
      <c r="K171">
        <v>-1.38</v>
      </c>
      <c r="L171" t="s">
        <v>14</v>
      </c>
    </row>
    <row r="172" spans="1:12" x14ac:dyDescent="0.25">
      <c r="A172" s="1">
        <v>45771</v>
      </c>
      <c r="B172" t="s">
        <v>11</v>
      </c>
      <c r="C172">
        <v>2871.93</v>
      </c>
      <c r="D172">
        <v>2878.33</v>
      </c>
      <c r="E172">
        <v>2853.47</v>
      </c>
      <c r="F172">
        <v>2866.82</v>
      </c>
      <c r="G172">
        <v>2868.42</v>
      </c>
      <c r="H172">
        <v>260348</v>
      </c>
      <c r="I172" s="2">
        <v>-1.8E-3</v>
      </c>
      <c r="J172">
        <v>1820.894</v>
      </c>
      <c r="K172">
        <v>-5.1100000000000003</v>
      </c>
      <c r="L172" t="s">
        <v>14</v>
      </c>
    </row>
    <row r="173" spans="1:12" x14ac:dyDescent="0.25">
      <c r="A173" s="1">
        <v>45771</v>
      </c>
      <c r="B173" t="s">
        <v>13</v>
      </c>
      <c r="C173">
        <v>1236.8699999999999</v>
      </c>
      <c r="D173">
        <v>1256.42</v>
      </c>
      <c r="E173">
        <v>1219.24</v>
      </c>
      <c r="F173">
        <v>1244.5999999999999</v>
      </c>
      <c r="G173">
        <v>1245.95</v>
      </c>
      <c r="H173">
        <v>117149</v>
      </c>
      <c r="I173" s="2">
        <v>6.1999999999999998E-3</v>
      </c>
      <c r="J173">
        <v>1822.876</v>
      </c>
      <c r="K173">
        <v>7.73</v>
      </c>
      <c r="L173" t="s">
        <v>12</v>
      </c>
    </row>
    <row r="174" spans="1:12" x14ac:dyDescent="0.25">
      <c r="A174" s="1">
        <v>45771</v>
      </c>
      <c r="B174" t="s">
        <v>15</v>
      </c>
      <c r="C174">
        <v>1950.26</v>
      </c>
      <c r="D174">
        <v>1955.81</v>
      </c>
      <c r="E174">
        <v>1938.18</v>
      </c>
      <c r="F174">
        <v>1944.26</v>
      </c>
      <c r="G174">
        <v>1944.52</v>
      </c>
      <c r="H174">
        <v>267852</v>
      </c>
      <c r="I174" s="2">
        <v>-3.0999999999999999E-3</v>
      </c>
      <c r="J174">
        <v>1819.2760000000001</v>
      </c>
      <c r="K174">
        <v>-6</v>
      </c>
      <c r="L174" t="s">
        <v>14</v>
      </c>
    </row>
    <row r="175" spans="1:12" x14ac:dyDescent="0.25">
      <c r="A175" s="1">
        <v>45771</v>
      </c>
      <c r="B175" t="s">
        <v>16</v>
      </c>
      <c r="C175">
        <v>677.41</v>
      </c>
      <c r="D175">
        <v>693.78</v>
      </c>
      <c r="E175">
        <v>672.04</v>
      </c>
      <c r="F175">
        <v>684.8</v>
      </c>
      <c r="G175">
        <v>682.89</v>
      </c>
      <c r="H175">
        <v>466163</v>
      </c>
      <c r="I175" s="2">
        <v>1.09E-2</v>
      </c>
      <c r="J175">
        <v>1821.8019999999999</v>
      </c>
      <c r="K175">
        <v>7.39</v>
      </c>
      <c r="L175" t="s">
        <v>12</v>
      </c>
    </row>
    <row r="176" spans="1:12" x14ac:dyDescent="0.25">
      <c r="A176" s="1">
        <v>45771</v>
      </c>
      <c r="B176" t="s">
        <v>17</v>
      </c>
      <c r="C176">
        <v>2357.1</v>
      </c>
      <c r="D176">
        <v>2368.3000000000002</v>
      </c>
      <c r="E176">
        <v>2350.27</v>
      </c>
      <c r="F176">
        <v>2363.9899999999998</v>
      </c>
      <c r="G176">
        <v>2362.71</v>
      </c>
      <c r="H176">
        <v>239573</v>
      </c>
      <c r="I176" s="2">
        <v>2.8999999999999998E-3</v>
      </c>
      <c r="J176">
        <v>1819.2760000000001</v>
      </c>
      <c r="K176">
        <v>6.89</v>
      </c>
      <c r="L176" t="s">
        <v>12</v>
      </c>
    </row>
    <row r="177" spans="1:12" x14ac:dyDescent="0.25">
      <c r="A177" s="1">
        <v>45772</v>
      </c>
      <c r="B177" t="s">
        <v>11</v>
      </c>
      <c r="C177">
        <v>2873.6</v>
      </c>
      <c r="D177">
        <v>2883.84</v>
      </c>
      <c r="E177">
        <v>2857.71</v>
      </c>
      <c r="F177">
        <v>2876.73</v>
      </c>
      <c r="G177">
        <v>2878.32</v>
      </c>
      <c r="H177">
        <v>207164</v>
      </c>
      <c r="I177" s="2">
        <v>1.1000000000000001E-3</v>
      </c>
      <c r="J177">
        <v>1818.2159999999999</v>
      </c>
      <c r="K177">
        <v>3.13</v>
      </c>
      <c r="L177" t="s">
        <v>12</v>
      </c>
    </row>
    <row r="178" spans="1:12" x14ac:dyDescent="0.25">
      <c r="A178" s="1">
        <v>45772</v>
      </c>
      <c r="B178" t="s">
        <v>13</v>
      </c>
      <c r="C178">
        <v>1229.48</v>
      </c>
      <c r="D178">
        <v>1238.58</v>
      </c>
      <c r="E178">
        <v>1223.6300000000001</v>
      </c>
      <c r="F178">
        <v>1226.5999999999999</v>
      </c>
      <c r="G178">
        <v>1228.06</v>
      </c>
      <c r="H178">
        <v>298813</v>
      </c>
      <c r="I178" s="2">
        <v>-2.3E-3</v>
      </c>
      <c r="J178">
        <v>1822.154</v>
      </c>
      <c r="K178">
        <v>-2.88</v>
      </c>
      <c r="L178" t="s">
        <v>14</v>
      </c>
    </row>
    <row r="179" spans="1:12" x14ac:dyDescent="0.25">
      <c r="A179" s="1">
        <v>45772</v>
      </c>
      <c r="B179" t="s">
        <v>15</v>
      </c>
      <c r="C179">
        <v>1969.89</v>
      </c>
      <c r="D179">
        <v>1981.5</v>
      </c>
      <c r="E179">
        <v>1958.88</v>
      </c>
      <c r="F179">
        <v>1956.89</v>
      </c>
      <c r="G179">
        <v>1957.13</v>
      </c>
      <c r="H179">
        <v>270193</v>
      </c>
      <c r="I179" s="2">
        <v>-6.6E-3</v>
      </c>
      <c r="J179">
        <v>1827.4259999999999</v>
      </c>
      <c r="K179">
        <v>-13</v>
      </c>
      <c r="L179" t="s">
        <v>14</v>
      </c>
    </row>
    <row r="180" spans="1:12" x14ac:dyDescent="0.25">
      <c r="A180" s="1">
        <v>45772</v>
      </c>
      <c r="B180" t="s">
        <v>16</v>
      </c>
      <c r="C180">
        <v>681.69</v>
      </c>
      <c r="D180">
        <v>698.25</v>
      </c>
      <c r="E180">
        <v>666.44</v>
      </c>
      <c r="F180">
        <v>672.17</v>
      </c>
      <c r="G180">
        <v>671.95</v>
      </c>
      <c r="H180">
        <v>497259</v>
      </c>
      <c r="I180" s="2">
        <v>-1.4E-2</v>
      </c>
      <c r="J180">
        <v>1826.0640000000001</v>
      </c>
      <c r="K180">
        <v>-9.52</v>
      </c>
      <c r="L180" t="s">
        <v>14</v>
      </c>
    </row>
    <row r="181" spans="1:12" x14ac:dyDescent="0.25">
      <c r="A181" s="1">
        <v>45772</v>
      </c>
      <c r="B181" t="s">
        <v>17</v>
      </c>
      <c r="C181">
        <v>2357.31</v>
      </c>
      <c r="D181">
        <v>2370.19</v>
      </c>
      <c r="E181">
        <v>2341.67</v>
      </c>
      <c r="F181">
        <v>2358.69</v>
      </c>
      <c r="G181">
        <v>2357.12</v>
      </c>
      <c r="H181">
        <v>323007</v>
      </c>
      <c r="I181" s="2">
        <v>5.9999999999999995E-4</v>
      </c>
      <c r="J181">
        <v>1822.1880000000001</v>
      </c>
      <c r="K181">
        <v>1.38</v>
      </c>
      <c r="L181" t="s">
        <v>12</v>
      </c>
    </row>
    <row r="182" spans="1:12" x14ac:dyDescent="0.25">
      <c r="A182" s="1">
        <v>45775</v>
      </c>
      <c r="B182" t="s">
        <v>11</v>
      </c>
      <c r="C182">
        <v>2890.5</v>
      </c>
      <c r="D182">
        <v>2905.13</v>
      </c>
      <c r="E182">
        <v>2884.24</v>
      </c>
      <c r="F182">
        <v>2896.42</v>
      </c>
      <c r="G182">
        <v>2895.07</v>
      </c>
      <c r="H182">
        <v>262889</v>
      </c>
      <c r="I182" s="2">
        <v>2E-3</v>
      </c>
      <c r="J182">
        <v>1821.8240000000001</v>
      </c>
      <c r="K182">
        <v>5.92</v>
      </c>
      <c r="L182" t="s">
        <v>12</v>
      </c>
    </row>
    <row r="183" spans="1:12" x14ac:dyDescent="0.25">
      <c r="A183" s="1">
        <v>45775</v>
      </c>
      <c r="B183" t="s">
        <v>13</v>
      </c>
      <c r="C183">
        <v>1254.05</v>
      </c>
      <c r="D183">
        <v>1270.58</v>
      </c>
      <c r="E183">
        <v>1234.8800000000001</v>
      </c>
      <c r="F183">
        <v>1252.96</v>
      </c>
      <c r="G183">
        <v>1254.3599999999999</v>
      </c>
      <c r="H183">
        <v>230877</v>
      </c>
      <c r="I183" s="2">
        <v>-8.9999999999999998E-4</v>
      </c>
      <c r="J183">
        <v>1821.3019999999999</v>
      </c>
      <c r="K183">
        <v>-1.0900000000000001</v>
      </c>
      <c r="L183" t="s">
        <v>14</v>
      </c>
    </row>
    <row r="184" spans="1:12" x14ac:dyDescent="0.25">
      <c r="A184" s="1">
        <v>45775</v>
      </c>
      <c r="B184" t="s">
        <v>15</v>
      </c>
      <c r="C184">
        <v>1952.57</v>
      </c>
      <c r="D184">
        <v>1970.5</v>
      </c>
      <c r="E184">
        <v>1933.38</v>
      </c>
      <c r="F184">
        <v>1950.08</v>
      </c>
      <c r="G184">
        <v>1949.57</v>
      </c>
      <c r="H184">
        <v>207525</v>
      </c>
      <c r="I184" s="2">
        <v>-1.2999999999999999E-3</v>
      </c>
      <c r="J184">
        <v>1818.048</v>
      </c>
      <c r="K184">
        <v>-2.4900000000000002</v>
      </c>
      <c r="L184" t="s">
        <v>14</v>
      </c>
    </row>
    <row r="185" spans="1:12" x14ac:dyDescent="0.25">
      <c r="A185" s="1">
        <v>45775</v>
      </c>
      <c r="B185" t="s">
        <v>16</v>
      </c>
      <c r="C185">
        <v>668.52</v>
      </c>
      <c r="D185">
        <v>675.97</v>
      </c>
      <c r="E185">
        <v>651.6</v>
      </c>
      <c r="F185">
        <v>652.79</v>
      </c>
      <c r="G185">
        <v>653.55999999999995</v>
      </c>
      <c r="H185">
        <v>106422</v>
      </c>
      <c r="I185" s="2">
        <v>-2.35E-2</v>
      </c>
      <c r="J185">
        <v>1820.146</v>
      </c>
      <c r="K185">
        <v>-15.73</v>
      </c>
      <c r="L185" t="s">
        <v>14</v>
      </c>
    </row>
    <row r="186" spans="1:12" x14ac:dyDescent="0.25">
      <c r="A186" s="1">
        <v>45775</v>
      </c>
      <c r="B186" t="s">
        <v>17</v>
      </c>
      <c r="C186">
        <v>2351.0700000000002</v>
      </c>
      <c r="D186">
        <v>2370.5100000000002</v>
      </c>
      <c r="E186">
        <v>2338.8200000000002</v>
      </c>
      <c r="F186">
        <v>2356.87</v>
      </c>
      <c r="G186">
        <v>2358.09</v>
      </c>
      <c r="H186">
        <v>410486</v>
      </c>
      <c r="I186" s="2">
        <v>2.5000000000000001E-3</v>
      </c>
      <c r="J186">
        <v>1828.7260000000001</v>
      </c>
      <c r="K186">
        <v>5.8</v>
      </c>
      <c r="L186" t="s">
        <v>12</v>
      </c>
    </row>
    <row r="187" spans="1:12" x14ac:dyDescent="0.25">
      <c r="A187" s="1">
        <v>45776</v>
      </c>
      <c r="B187" t="s">
        <v>11</v>
      </c>
      <c r="C187">
        <v>2890.26</v>
      </c>
      <c r="D187">
        <v>2895.4</v>
      </c>
      <c r="E187">
        <v>2883.74</v>
      </c>
      <c r="F187">
        <v>2893.81</v>
      </c>
      <c r="G187">
        <v>2894.46</v>
      </c>
      <c r="H187">
        <v>123914</v>
      </c>
      <c r="I187" s="2">
        <v>1.1999999999999999E-3</v>
      </c>
      <c r="J187">
        <v>1829.18</v>
      </c>
      <c r="K187">
        <v>3.55</v>
      </c>
      <c r="L187" t="s">
        <v>12</v>
      </c>
    </row>
    <row r="188" spans="1:12" x14ac:dyDescent="0.25">
      <c r="A188" s="1">
        <v>45776</v>
      </c>
      <c r="B188" t="s">
        <v>13</v>
      </c>
      <c r="C188">
        <v>1250.8699999999999</v>
      </c>
      <c r="D188">
        <v>1257.81</v>
      </c>
      <c r="E188">
        <v>1231.56</v>
      </c>
      <c r="F188">
        <v>1236.69</v>
      </c>
      <c r="G188">
        <v>1237.1099999999999</v>
      </c>
      <c r="H188">
        <v>352769</v>
      </c>
      <c r="I188" s="2">
        <v>-1.1299999999999999E-2</v>
      </c>
      <c r="J188">
        <v>1832.866</v>
      </c>
      <c r="K188">
        <v>-14.18</v>
      </c>
      <c r="L188" t="s">
        <v>14</v>
      </c>
    </row>
    <row r="189" spans="1:12" x14ac:dyDescent="0.25">
      <c r="A189" s="1">
        <v>45776</v>
      </c>
      <c r="B189" t="s">
        <v>15</v>
      </c>
      <c r="C189">
        <v>1964.33</v>
      </c>
      <c r="D189">
        <v>1975.46</v>
      </c>
      <c r="E189">
        <v>1958.95</v>
      </c>
      <c r="F189">
        <v>1960.57</v>
      </c>
      <c r="G189">
        <v>1959.19</v>
      </c>
      <c r="H189">
        <v>295757</v>
      </c>
      <c r="I189" s="2">
        <v>-1.9E-3</v>
      </c>
      <c r="J189">
        <v>1837.018</v>
      </c>
      <c r="K189">
        <v>-3.76</v>
      </c>
      <c r="L189" t="s">
        <v>14</v>
      </c>
    </row>
    <row r="190" spans="1:12" x14ac:dyDescent="0.25">
      <c r="A190" s="1">
        <v>45776</v>
      </c>
      <c r="B190" t="s">
        <v>16</v>
      </c>
      <c r="C190">
        <v>694.22</v>
      </c>
      <c r="D190">
        <v>703.32</v>
      </c>
      <c r="E190">
        <v>674.96</v>
      </c>
      <c r="F190">
        <v>695.69</v>
      </c>
      <c r="G190">
        <v>694.29</v>
      </c>
      <c r="H190">
        <v>184832</v>
      </c>
      <c r="I190" s="2">
        <v>2.0999999999999999E-3</v>
      </c>
      <c r="J190">
        <v>1838.9559999999999</v>
      </c>
      <c r="K190">
        <v>1.47</v>
      </c>
      <c r="L190" t="s">
        <v>12</v>
      </c>
    </row>
    <row r="191" spans="1:12" x14ac:dyDescent="0.25">
      <c r="A191" s="1">
        <v>45776</v>
      </c>
      <c r="B191" t="s">
        <v>17</v>
      </c>
      <c r="C191">
        <v>2361.21</v>
      </c>
      <c r="D191">
        <v>2375.71</v>
      </c>
      <c r="E191">
        <v>2341.94</v>
      </c>
      <c r="F191">
        <v>2359.14</v>
      </c>
      <c r="G191">
        <v>2359.5500000000002</v>
      </c>
      <c r="H191">
        <v>269785</v>
      </c>
      <c r="I191" s="2">
        <v>-8.9999999999999998E-4</v>
      </c>
      <c r="J191">
        <v>1837.29</v>
      </c>
      <c r="K191">
        <v>-2.0699999999999998</v>
      </c>
      <c r="L191" t="s">
        <v>14</v>
      </c>
    </row>
    <row r="192" spans="1:12" x14ac:dyDescent="0.25">
      <c r="A192" s="1">
        <v>45777</v>
      </c>
      <c r="B192" t="s">
        <v>11</v>
      </c>
      <c r="C192">
        <v>2906.66</v>
      </c>
      <c r="D192">
        <v>2921.44</v>
      </c>
      <c r="E192">
        <v>2898.3</v>
      </c>
      <c r="F192">
        <v>2912.24</v>
      </c>
      <c r="G192">
        <v>2913.09</v>
      </c>
      <c r="H192">
        <v>232532</v>
      </c>
      <c r="I192" s="2">
        <v>1.9E-3</v>
      </c>
      <c r="J192">
        <v>1839.0239999999999</v>
      </c>
      <c r="K192">
        <v>5.58</v>
      </c>
      <c r="L192" t="s">
        <v>12</v>
      </c>
    </row>
    <row r="193" spans="1:12" x14ac:dyDescent="0.25">
      <c r="A193" s="1">
        <v>45777</v>
      </c>
      <c r="B193" t="s">
        <v>13</v>
      </c>
      <c r="C193">
        <v>1261.1199999999999</v>
      </c>
      <c r="D193">
        <v>1275.3900000000001</v>
      </c>
      <c r="E193">
        <v>1250.75</v>
      </c>
      <c r="F193">
        <v>1257.45</v>
      </c>
      <c r="G193">
        <v>1255.9000000000001</v>
      </c>
      <c r="H193">
        <v>190066</v>
      </c>
      <c r="I193" s="2">
        <v>-2.8999999999999998E-3</v>
      </c>
      <c r="J193">
        <v>1831.69</v>
      </c>
      <c r="K193">
        <v>-3.67</v>
      </c>
      <c r="L193" t="s">
        <v>14</v>
      </c>
    </row>
    <row r="194" spans="1:12" x14ac:dyDescent="0.25">
      <c r="A194" s="1">
        <v>45777</v>
      </c>
      <c r="B194" t="s">
        <v>15</v>
      </c>
      <c r="C194">
        <v>1965.36</v>
      </c>
      <c r="D194">
        <v>1970.77</v>
      </c>
      <c r="E194">
        <v>1957.03</v>
      </c>
      <c r="F194">
        <v>1970.26</v>
      </c>
      <c r="G194">
        <v>1969.18</v>
      </c>
      <c r="H194">
        <v>203967</v>
      </c>
      <c r="I194" s="2">
        <v>2.5000000000000001E-3</v>
      </c>
      <c r="J194">
        <v>1833.91</v>
      </c>
      <c r="K194">
        <v>4.9000000000000004</v>
      </c>
      <c r="L194" t="s">
        <v>12</v>
      </c>
    </row>
    <row r="195" spans="1:12" x14ac:dyDescent="0.25">
      <c r="A195" s="1">
        <v>45777</v>
      </c>
      <c r="B195" t="s">
        <v>16</v>
      </c>
      <c r="C195">
        <v>689.5</v>
      </c>
      <c r="D195">
        <v>700.8</v>
      </c>
      <c r="E195">
        <v>674.92</v>
      </c>
      <c r="F195">
        <v>687.36</v>
      </c>
      <c r="G195">
        <v>686.95</v>
      </c>
      <c r="H195">
        <v>229327</v>
      </c>
      <c r="I195" s="2">
        <v>-3.0999999999999999E-3</v>
      </c>
      <c r="J195">
        <v>1830.414</v>
      </c>
      <c r="K195">
        <v>-2.14</v>
      </c>
      <c r="L195" t="s">
        <v>14</v>
      </c>
    </row>
    <row r="196" spans="1:12" x14ac:dyDescent="0.25">
      <c r="A196" s="1">
        <v>45777</v>
      </c>
      <c r="B196" t="s">
        <v>17</v>
      </c>
      <c r="C196">
        <v>2367.4899999999998</v>
      </c>
      <c r="D196">
        <v>2375.91</v>
      </c>
      <c r="E196">
        <v>2359.31</v>
      </c>
      <c r="F196">
        <v>2367.81</v>
      </c>
      <c r="G196">
        <v>2368.25</v>
      </c>
      <c r="H196">
        <v>232661</v>
      </c>
      <c r="I196" s="2">
        <v>1E-4</v>
      </c>
      <c r="J196">
        <v>1831.1559999999999</v>
      </c>
      <c r="K196">
        <v>0.32</v>
      </c>
      <c r="L196" t="s">
        <v>12</v>
      </c>
    </row>
    <row r="197" spans="1:12" x14ac:dyDescent="0.25">
      <c r="A197" s="1">
        <v>45778</v>
      </c>
      <c r="B197" t="s">
        <v>11</v>
      </c>
      <c r="C197">
        <v>2880.49</v>
      </c>
      <c r="D197">
        <v>2896.69</v>
      </c>
      <c r="E197">
        <v>2865.75</v>
      </c>
      <c r="F197">
        <v>2875.57</v>
      </c>
      <c r="G197">
        <v>2876.97</v>
      </c>
      <c r="H197">
        <v>248274</v>
      </c>
      <c r="I197" s="2">
        <v>-1.6999999999999999E-3</v>
      </c>
      <c r="J197">
        <v>1833.8119999999999</v>
      </c>
      <c r="K197">
        <v>-4.92</v>
      </c>
      <c r="L197" t="s">
        <v>14</v>
      </c>
    </row>
    <row r="198" spans="1:12" x14ac:dyDescent="0.25">
      <c r="A198" s="1">
        <v>45778</v>
      </c>
      <c r="B198" t="s">
        <v>13</v>
      </c>
      <c r="C198">
        <v>1256.42</v>
      </c>
      <c r="D198">
        <v>1273</v>
      </c>
      <c r="E198">
        <v>1243.6199999999999</v>
      </c>
      <c r="F198">
        <v>1268.55</v>
      </c>
      <c r="G198">
        <v>1269.96</v>
      </c>
      <c r="H198">
        <v>250975</v>
      </c>
      <c r="I198" s="2">
        <v>9.7000000000000003E-3</v>
      </c>
      <c r="J198">
        <v>1839.4280000000001</v>
      </c>
      <c r="K198">
        <v>12.13</v>
      </c>
      <c r="L198" t="s">
        <v>12</v>
      </c>
    </row>
    <row r="199" spans="1:12" x14ac:dyDescent="0.25">
      <c r="A199" s="1">
        <v>45778</v>
      </c>
      <c r="B199" t="s">
        <v>15</v>
      </c>
      <c r="C199">
        <v>1956.99</v>
      </c>
      <c r="D199">
        <v>1964.67</v>
      </c>
      <c r="E199">
        <v>1942.2</v>
      </c>
      <c r="F199">
        <v>1952.78</v>
      </c>
      <c r="G199">
        <v>1951.73</v>
      </c>
      <c r="H199">
        <v>491185</v>
      </c>
      <c r="I199" s="2">
        <v>-2.2000000000000001E-3</v>
      </c>
      <c r="J199">
        <v>1843.106</v>
      </c>
      <c r="K199">
        <v>-4.21</v>
      </c>
      <c r="L199" t="s">
        <v>14</v>
      </c>
    </row>
    <row r="200" spans="1:12" x14ac:dyDescent="0.25">
      <c r="A200" s="1">
        <v>45778</v>
      </c>
      <c r="B200" t="s">
        <v>16</v>
      </c>
      <c r="C200">
        <v>691.98</v>
      </c>
      <c r="D200">
        <v>700.43</v>
      </c>
      <c r="E200">
        <v>683.78</v>
      </c>
      <c r="F200">
        <v>691.07</v>
      </c>
      <c r="G200">
        <v>689.19</v>
      </c>
      <c r="H200">
        <v>431464</v>
      </c>
      <c r="I200" s="2">
        <v>-1.2999999999999999E-3</v>
      </c>
      <c r="J200">
        <v>1842.694</v>
      </c>
      <c r="K200">
        <v>-0.91</v>
      </c>
      <c r="L200" t="s">
        <v>14</v>
      </c>
    </row>
    <row r="201" spans="1:12" x14ac:dyDescent="0.25">
      <c r="A201" s="1">
        <v>45778</v>
      </c>
      <c r="B201" t="s">
        <v>17</v>
      </c>
      <c r="C201">
        <v>2378.4899999999998</v>
      </c>
      <c r="D201">
        <v>2396.9899999999998</v>
      </c>
      <c r="E201">
        <v>2368.19</v>
      </c>
      <c r="F201">
        <v>2381.09</v>
      </c>
      <c r="G201">
        <v>2380.04</v>
      </c>
      <c r="H201">
        <v>264903</v>
      </c>
      <c r="I201" s="2">
        <v>1.1000000000000001E-3</v>
      </c>
      <c r="J201">
        <v>1840.606</v>
      </c>
      <c r="K201">
        <v>2.6</v>
      </c>
      <c r="L201" t="s">
        <v>12</v>
      </c>
    </row>
    <row r="202" spans="1:12" x14ac:dyDescent="0.25">
      <c r="A202" s="1">
        <v>45779</v>
      </c>
      <c r="B202" t="s">
        <v>11</v>
      </c>
      <c r="C202">
        <v>2896.22</v>
      </c>
      <c r="D202">
        <v>2902.63</v>
      </c>
      <c r="E202">
        <v>2885.7</v>
      </c>
      <c r="F202">
        <v>2903.65</v>
      </c>
      <c r="G202">
        <v>2902.71</v>
      </c>
      <c r="H202">
        <v>419864</v>
      </c>
      <c r="I202" s="2">
        <v>2.5999999999999999E-3</v>
      </c>
      <c r="J202">
        <v>1837.8440000000001</v>
      </c>
      <c r="K202">
        <v>7.43</v>
      </c>
      <c r="L202" t="s">
        <v>12</v>
      </c>
    </row>
    <row r="203" spans="1:12" x14ac:dyDescent="0.25">
      <c r="A203" s="1">
        <v>45779</v>
      </c>
      <c r="B203" t="s">
        <v>13</v>
      </c>
      <c r="C203">
        <v>1274.6099999999999</v>
      </c>
      <c r="D203">
        <v>1292.76</v>
      </c>
      <c r="E203">
        <v>1263.56</v>
      </c>
      <c r="F203">
        <v>1286.94</v>
      </c>
      <c r="G203">
        <v>1285.48</v>
      </c>
      <c r="H203">
        <v>284338</v>
      </c>
      <c r="I203" s="2">
        <v>9.7000000000000003E-3</v>
      </c>
      <c r="J203">
        <v>1835.9880000000001</v>
      </c>
      <c r="K203">
        <v>12.33</v>
      </c>
      <c r="L203" t="s">
        <v>12</v>
      </c>
    </row>
    <row r="204" spans="1:12" x14ac:dyDescent="0.25">
      <c r="A204" s="1">
        <v>45779</v>
      </c>
      <c r="B204" t="s">
        <v>15</v>
      </c>
      <c r="C204">
        <v>1953.6</v>
      </c>
      <c r="D204">
        <v>1969.43</v>
      </c>
      <c r="E204">
        <v>1935.76</v>
      </c>
      <c r="F204">
        <v>1950.72</v>
      </c>
      <c r="G204">
        <v>1952.04</v>
      </c>
      <c r="H204">
        <v>114141</v>
      </c>
      <c r="I204" s="2">
        <v>-1.5E-3</v>
      </c>
      <c r="J204">
        <v>1833.37</v>
      </c>
      <c r="K204">
        <v>-2.88</v>
      </c>
      <c r="L204" t="s">
        <v>14</v>
      </c>
    </row>
    <row r="205" spans="1:12" x14ac:dyDescent="0.25">
      <c r="A205" s="1">
        <v>45779</v>
      </c>
      <c r="B205" t="s">
        <v>16</v>
      </c>
      <c r="C205">
        <v>670.48</v>
      </c>
      <c r="D205">
        <v>688.45</v>
      </c>
      <c r="E205">
        <v>658.38</v>
      </c>
      <c r="F205">
        <v>680.63</v>
      </c>
      <c r="G205">
        <v>682.5</v>
      </c>
      <c r="H205">
        <v>260994</v>
      </c>
      <c r="I205" s="2">
        <v>1.5100000000000001E-2</v>
      </c>
      <c r="J205">
        <v>1836.578</v>
      </c>
      <c r="K205">
        <v>10.15</v>
      </c>
      <c r="L205" t="s">
        <v>12</v>
      </c>
    </row>
    <row r="206" spans="1:12" x14ac:dyDescent="0.25">
      <c r="A206" s="1">
        <v>45779</v>
      </c>
      <c r="B206" t="s">
        <v>17</v>
      </c>
      <c r="C206">
        <v>2359.8200000000002</v>
      </c>
      <c r="D206">
        <v>2377.16</v>
      </c>
      <c r="E206">
        <v>2348.46</v>
      </c>
      <c r="F206">
        <v>2367.2800000000002</v>
      </c>
      <c r="G206">
        <v>2367.9499999999998</v>
      </c>
      <c r="H206">
        <v>201657</v>
      </c>
      <c r="I206" s="2">
        <v>3.2000000000000002E-3</v>
      </c>
      <c r="J206">
        <v>1837.37</v>
      </c>
      <c r="K206">
        <v>7.46</v>
      </c>
      <c r="L206" t="s">
        <v>12</v>
      </c>
    </row>
    <row r="207" spans="1:12" x14ac:dyDescent="0.25">
      <c r="A207" s="1">
        <v>45782</v>
      </c>
      <c r="B207" t="s">
        <v>11</v>
      </c>
      <c r="C207">
        <v>2896.79</v>
      </c>
      <c r="D207">
        <v>2911.26</v>
      </c>
      <c r="E207">
        <v>2879.87</v>
      </c>
      <c r="F207">
        <v>2894.37</v>
      </c>
      <c r="G207">
        <v>2894.38</v>
      </c>
      <c r="H207">
        <v>349970</v>
      </c>
      <c r="I207" s="2">
        <v>-8.0000000000000004E-4</v>
      </c>
      <c r="J207">
        <v>1836.808</v>
      </c>
      <c r="K207">
        <v>-2.42</v>
      </c>
      <c r="L207" t="s">
        <v>14</v>
      </c>
    </row>
    <row r="208" spans="1:12" x14ac:dyDescent="0.25">
      <c r="A208" s="1">
        <v>45782</v>
      </c>
      <c r="B208" t="s">
        <v>13</v>
      </c>
      <c r="C208">
        <v>1268.8900000000001</v>
      </c>
      <c r="D208">
        <v>1277.08</v>
      </c>
      <c r="E208">
        <v>1261.8399999999999</v>
      </c>
      <c r="F208">
        <v>1273.8499999999999</v>
      </c>
      <c r="G208">
        <v>1271.9100000000001</v>
      </c>
      <c r="H208">
        <v>198095</v>
      </c>
      <c r="I208" s="2">
        <v>3.8999999999999998E-3</v>
      </c>
      <c r="J208">
        <v>1836.934</v>
      </c>
      <c r="K208">
        <v>4.96</v>
      </c>
      <c r="L208" t="s">
        <v>12</v>
      </c>
    </row>
    <row r="209" spans="1:12" x14ac:dyDescent="0.25">
      <c r="A209" s="1">
        <v>45782</v>
      </c>
      <c r="B209" t="s">
        <v>15</v>
      </c>
      <c r="C209">
        <v>1972.46</v>
      </c>
      <c r="D209">
        <v>1980.53</v>
      </c>
      <c r="E209">
        <v>1963.06</v>
      </c>
      <c r="F209">
        <v>1966.76</v>
      </c>
      <c r="G209">
        <v>1968.35</v>
      </c>
      <c r="H209">
        <v>378823</v>
      </c>
      <c r="I209" s="2">
        <v>-2.8999999999999998E-3</v>
      </c>
      <c r="J209">
        <v>1833.2539999999999</v>
      </c>
      <c r="K209">
        <v>-5.7</v>
      </c>
      <c r="L209" t="s">
        <v>14</v>
      </c>
    </row>
    <row r="210" spans="1:12" x14ac:dyDescent="0.25">
      <c r="A210" s="1">
        <v>45782</v>
      </c>
      <c r="B210" t="s">
        <v>16</v>
      </c>
      <c r="C210">
        <v>685.7</v>
      </c>
      <c r="D210">
        <v>702.35</v>
      </c>
      <c r="E210">
        <v>669.14</v>
      </c>
      <c r="F210">
        <v>684.59</v>
      </c>
      <c r="G210">
        <v>685.97</v>
      </c>
      <c r="H210">
        <v>358202</v>
      </c>
      <c r="I210" s="2">
        <v>-1.6000000000000001E-3</v>
      </c>
      <c r="J210">
        <v>1829.796</v>
      </c>
      <c r="K210">
        <v>-1.1100000000000001</v>
      </c>
      <c r="L210" t="s">
        <v>14</v>
      </c>
    </row>
    <row r="211" spans="1:12" x14ac:dyDescent="0.25">
      <c r="A211" s="1">
        <v>45782</v>
      </c>
      <c r="B211" t="s">
        <v>17</v>
      </c>
      <c r="C211">
        <v>2369.39</v>
      </c>
      <c r="D211">
        <v>2381.17</v>
      </c>
      <c r="E211">
        <v>2355.59</v>
      </c>
      <c r="F211">
        <v>2364.4699999999998</v>
      </c>
      <c r="G211">
        <v>2363.14</v>
      </c>
      <c r="H211">
        <v>278016</v>
      </c>
      <c r="I211" s="2">
        <v>-2.0999999999999999E-3</v>
      </c>
      <c r="J211">
        <v>1832.242</v>
      </c>
      <c r="K211">
        <v>-4.92</v>
      </c>
      <c r="L211" t="s">
        <v>14</v>
      </c>
    </row>
    <row r="212" spans="1:12" x14ac:dyDescent="0.25">
      <c r="A212" s="1">
        <v>45783</v>
      </c>
      <c r="B212" t="s">
        <v>11</v>
      </c>
      <c r="C212">
        <v>2885.35</v>
      </c>
      <c r="D212">
        <v>2893.28</v>
      </c>
      <c r="E212">
        <v>2869.51</v>
      </c>
      <c r="F212">
        <v>2895</v>
      </c>
      <c r="G212">
        <v>2894.12</v>
      </c>
      <c r="H212">
        <v>163464</v>
      </c>
      <c r="I212" s="2">
        <v>3.3E-3</v>
      </c>
      <c r="J212">
        <v>1834.61</v>
      </c>
      <c r="K212">
        <v>9.65</v>
      </c>
      <c r="L212" t="s">
        <v>12</v>
      </c>
    </row>
    <row r="213" spans="1:12" x14ac:dyDescent="0.25">
      <c r="A213" s="1">
        <v>45783</v>
      </c>
      <c r="B213" t="s">
        <v>13</v>
      </c>
      <c r="C213">
        <v>1264.58</v>
      </c>
      <c r="D213">
        <v>1275.46</v>
      </c>
      <c r="E213">
        <v>1253.02</v>
      </c>
      <c r="F213">
        <v>1255.45</v>
      </c>
      <c r="G213">
        <v>1257.07</v>
      </c>
      <c r="H213">
        <v>395877</v>
      </c>
      <c r="I213" s="2">
        <v>-7.1999999999999998E-3</v>
      </c>
      <c r="J213">
        <v>1832.0119999999999</v>
      </c>
      <c r="K213">
        <v>-9.1300000000000008</v>
      </c>
      <c r="L213" t="s">
        <v>14</v>
      </c>
    </row>
    <row r="214" spans="1:12" x14ac:dyDescent="0.25">
      <c r="A214" s="1">
        <v>45783</v>
      </c>
      <c r="B214" t="s">
        <v>15</v>
      </c>
      <c r="C214">
        <v>1959.26</v>
      </c>
      <c r="D214">
        <v>1970.58</v>
      </c>
      <c r="E214">
        <v>1940.87</v>
      </c>
      <c r="F214">
        <v>1949.47</v>
      </c>
      <c r="G214">
        <v>1950.74</v>
      </c>
      <c r="H214">
        <v>292201</v>
      </c>
      <c r="I214" s="2">
        <v>-5.0000000000000001E-3</v>
      </c>
      <c r="J214">
        <v>1830.5319999999999</v>
      </c>
      <c r="K214">
        <v>-9.7899999999999991</v>
      </c>
      <c r="L214" t="s">
        <v>14</v>
      </c>
    </row>
    <row r="215" spans="1:12" x14ac:dyDescent="0.25">
      <c r="A215" s="1">
        <v>45783</v>
      </c>
      <c r="B215" t="s">
        <v>16</v>
      </c>
      <c r="C215">
        <v>689.43</v>
      </c>
      <c r="D215">
        <v>696.4</v>
      </c>
      <c r="E215">
        <v>683.94</v>
      </c>
      <c r="F215">
        <v>696.82</v>
      </c>
      <c r="G215">
        <v>698.5</v>
      </c>
      <c r="H215">
        <v>392160</v>
      </c>
      <c r="I215" s="2">
        <v>1.0699999999999999E-2</v>
      </c>
      <c r="J215">
        <v>1828.222</v>
      </c>
      <c r="K215">
        <v>7.39</v>
      </c>
      <c r="L215" t="s">
        <v>12</v>
      </c>
    </row>
    <row r="216" spans="1:12" x14ac:dyDescent="0.25">
      <c r="A216" s="1">
        <v>45783</v>
      </c>
      <c r="B216" t="s">
        <v>17</v>
      </c>
      <c r="C216">
        <v>2373.34</v>
      </c>
      <c r="D216">
        <v>2381.59</v>
      </c>
      <c r="E216">
        <v>2366.9</v>
      </c>
      <c r="F216">
        <v>2376.31</v>
      </c>
      <c r="G216">
        <v>2374.4</v>
      </c>
      <c r="H216">
        <v>209271</v>
      </c>
      <c r="I216" s="2">
        <v>1.2999999999999999E-3</v>
      </c>
      <c r="J216">
        <v>1828.9939999999999</v>
      </c>
      <c r="K216">
        <v>2.97</v>
      </c>
      <c r="L216" t="s">
        <v>12</v>
      </c>
    </row>
    <row r="217" spans="1:12" x14ac:dyDescent="0.25">
      <c r="A217" s="1">
        <v>45784</v>
      </c>
      <c r="B217" t="s">
        <v>11</v>
      </c>
      <c r="C217">
        <v>2888.42</v>
      </c>
      <c r="D217">
        <v>2896.08</v>
      </c>
      <c r="E217">
        <v>2869.31</v>
      </c>
      <c r="F217">
        <v>2882.01</v>
      </c>
      <c r="G217">
        <v>2883.83</v>
      </c>
      <c r="H217">
        <v>101631</v>
      </c>
      <c r="I217" s="2">
        <v>-2.2000000000000001E-3</v>
      </c>
      <c r="J217">
        <v>1831.6780000000001</v>
      </c>
      <c r="K217">
        <v>-6.41</v>
      </c>
      <c r="L217" t="s">
        <v>14</v>
      </c>
    </row>
    <row r="218" spans="1:12" x14ac:dyDescent="0.25">
      <c r="A218" s="1">
        <v>45784</v>
      </c>
      <c r="B218" t="s">
        <v>13</v>
      </c>
      <c r="C218">
        <v>1256</v>
      </c>
      <c r="D218">
        <v>1272.75</v>
      </c>
      <c r="E218">
        <v>1245.05</v>
      </c>
      <c r="F218">
        <v>1248.05</v>
      </c>
      <c r="G218">
        <v>1248.54</v>
      </c>
      <c r="H218">
        <v>364977</v>
      </c>
      <c r="I218" s="2">
        <v>-6.3E-3</v>
      </c>
      <c r="J218">
        <v>1831.7760000000001</v>
      </c>
      <c r="K218">
        <v>-7.95</v>
      </c>
      <c r="L218" t="s">
        <v>14</v>
      </c>
    </row>
    <row r="219" spans="1:12" x14ac:dyDescent="0.25">
      <c r="A219" s="1">
        <v>45784</v>
      </c>
      <c r="B219" t="s">
        <v>15</v>
      </c>
      <c r="C219">
        <v>1943.58</v>
      </c>
      <c r="D219">
        <v>1954.28</v>
      </c>
      <c r="E219">
        <v>1929.73</v>
      </c>
      <c r="F219">
        <v>1937.92</v>
      </c>
      <c r="G219">
        <v>1936.99</v>
      </c>
      <c r="H219">
        <v>279526</v>
      </c>
      <c r="I219" s="2">
        <v>-2.8999999999999998E-3</v>
      </c>
      <c r="J219">
        <v>1828.7239999999999</v>
      </c>
      <c r="K219">
        <v>-5.66</v>
      </c>
      <c r="L219" t="s">
        <v>14</v>
      </c>
    </row>
    <row r="220" spans="1:12" x14ac:dyDescent="0.25">
      <c r="A220" s="1">
        <v>45784</v>
      </c>
      <c r="B220" t="s">
        <v>16</v>
      </c>
      <c r="C220">
        <v>695.49</v>
      </c>
      <c r="D220">
        <v>707.71</v>
      </c>
      <c r="E220">
        <v>688.73</v>
      </c>
      <c r="F220">
        <v>700.68</v>
      </c>
      <c r="G220">
        <v>699.18</v>
      </c>
      <c r="H220">
        <v>253632</v>
      </c>
      <c r="I220" s="2">
        <v>7.4999999999999997E-3</v>
      </c>
      <c r="J220">
        <v>1831.7080000000001</v>
      </c>
      <c r="K220">
        <v>5.19</v>
      </c>
      <c r="L220" t="s">
        <v>12</v>
      </c>
    </row>
    <row r="221" spans="1:12" x14ac:dyDescent="0.25">
      <c r="A221" s="1">
        <v>45784</v>
      </c>
      <c r="B221" t="s">
        <v>17</v>
      </c>
      <c r="C221">
        <v>2379.25</v>
      </c>
      <c r="D221">
        <v>2392.4499999999998</v>
      </c>
      <c r="E221">
        <v>2370.77</v>
      </c>
      <c r="F221">
        <v>2389.73</v>
      </c>
      <c r="G221">
        <v>2389.29</v>
      </c>
      <c r="H221">
        <v>272344</v>
      </c>
      <c r="I221" s="2">
        <v>4.4000000000000003E-3</v>
      </c>
      <c r="J221">
        <v>1828.184</v>
      </c>
      <c r="K221">
        <v>10.48</v>
      </c>
      <c r="L221" t="s">
        <v>12</v>
      </c>
    </row>
    <row r="222" spans="1:12" x14ac:dyDescent="0.25">
      <c r="A222" s="1">
        <v>45785</v>
      </c>
      <c r="B222" t="s">
        <v>11</v>
      </c>
      <c r="C222">
        <v>2885.77</v>
      </c>
      <c r="D222">
        <v>2891</v>
      </c>
      <c r="E222">
        <v>2866.85</v>
      </c>
      <c r="F222">
        <v>2882.5</v>
      </c>
      <c r="G222">
        <v>2882.21</v>
      </c>
      <c r="H222">
        <v>209479</v>
      </c>
      <c r="I222" s="2">
        <v>-1.1000000000000001E-3</v>
      </c>
      <c r="J222">
        <v>1827.318</v>
      </c>
      <c r="K222">
        <v>-3.27</v>
      </c>
      <c r="L222" t="s">
        <v>14</v>
      </c>
    </row>
    <row r="223" spans="1:12" x14ac:dyDescent="0.25">
      <c r="A223" s="1">
        <v>45785</v>
      </c>
      <c r="B223" t="s">
        <v>13</v>
      </c>
      <c r="C223">
        <v>1236.97</v>
      </c>
      <c r="D223">
        <v>1248.8599999999999</v>
      </c>
      <c r="E223">
        <v>1217.27</v>
      </c>
      <c r="F223">
        <v>1232.79</v>
      </c>
      <c r="G223">
        <v>1232.76</v>
      </c>
      <c r="H223">
        <v>478907</v>
      </c>
      <c r="I223" s="2">
        <v>-3.3999999999999998E-3</v>
      </c>
      <c r="J223">
        <v>1827.5920000000001</v>
      </c>
      <c r="K223">
        <v>-4.18</v>
      </c>
      <c r="L223" t="s">
        <v>14</v>
      </c>
    </row>
    <row r="224" spans="1:12" x14ac:dyDescent="0.25">
      <c r="A224" s="1">
        <v>45785</v>
      </c>
      <c r="B224" t="s">
        <v>15</v>
      </c>
      <c r="C224">
        <v>1943.2</v>
      </c>
      <c r="D224">
        <v>1956.48</v>
      </c>
      <c r="E224">
        <v>1931.66</v>
      </c>
      <c r="F224">
        <v>1952.84</v>
      </c>
      <c r="G224">
        <v>1952.02</v>
      </c>
      <c r="H224">
        <v>439556</v>
      </c>
      <c r="I224" s="2">
        <v>5.0000000000000001E-3</v>
      </c>
      <c r="J224">
        <v>1832.884</v>
      </c>
      <c r="K224">
        <v>9.64</v>
      </c>
      <c r="L224" t="s">
        <v>12</v>
      </c>
    </row>
    <row r="225" spans="1:12" x14ac:dyDescent="0.25">
      <c r="A225" s="1">
        <v>45785</v>
      </c>
      <c r="B225" t="s">
        <v>16</v>
      </c>
      <c r="C225">
        <v>676.24</v>
      </c>
      <c r="D225">
        <v>684.25</v>
      </c>
      <c r="E225">
        <v>663.87</v>
      </c>
      <c r="F225">
        <v>683.06</v>
      </c>
      <c r="G225">
        <v>681.32</v>
      </c>
      <c r="H225">
        <v>202055</v>
      </c>
      <c r="I225" s="2">
        <v>1.01E-2</v>
      </c>
      <c r="J225">
        <v>1835.992</v>
      </c>
      <c r="K225">
        <v>6.82</v>
      </c>
      <c r="L225" t="s">
        <v>12</v>
      </c>
    </row>
    <row r="226" spans="1:12" x14ac:dyDescent="0.25">
      <c r="A226" s="1">
        <v>45785</v>
      </c>
      <c r="B226" t="s">
        <v>17</v>
      </c>
      <c r="C226">
        <v>2366.12</v>
      </c>
      <c r="D226">
        <v>2385.94</v>
      </c>
      <c r="E226">
        <v>2359.0700000000002</v>
      </c>
      <c r="F226">
        <v>2385.4</v>
      </c>
      <c r="G226">
        <v>2386.1799999999998</v>
      </c>
      <c r="H226">
        <v>182260</v>
      </c>
      <c r="I226" s="2">
        <v>8.0999999999999996E-3</v>
      </c>
      <c r="J226">
        <v>1834.0920000000001</v>
      </c>
      <c r="K226">
        <v>19.28</v>
      </c>
      <c r="L226" t="s">
        <v>12</v>
      </c>
    </row>
    <row r="227" spans="1:12" x14ac:dyDescent="0.25">
      <c r="A227" s="1">
        <v>45786</v>
      </c>
      <c r="B227" t="s">
        <v>11</v>
      </c>
      <c r="C227">
        <v>2883.48</v>
      </c>
      <c r="D227">
        <v>2894.26</v>
      </c>
      <c r="E227">
        <v>2865.71</v>
      </c>
      <c r="F227">
        <v>2883.87</v>
      </c>
      <c r="G227">
        <v>2883.14</v>
      </c>
      <c r="H227">
        <v>493922</v>
      </c>
      <c r="I227" s="2">
        <v>1E-4</v>
      </c>
      <c r="J227">
        <v>1825.664</v>
      </c>
      <c r="K227">
        <v>0.39</v>
      </c>
      <c r="L227" t="s">
        <v>12</v>
      </c>
    </row>
    <row r="228" spans="1:12" x14ac:dyDescent="0.25">
      <c r="A228" s="1">
        <v>45786</v>
      </c>
      <c r="B228" t="s">
        <v>13</v>
      </c>
      <c r="C228">
        <v>1265.23</v>
      </c>
      <c r="D228">
        <v>1273.83</v>
      </c>
      <c r="E228">
        <v>1259.0899999999999</v>
      </c>
      <c r="F228">
        <v>1259.25</v>
      </c>
      <c r="G228">
        <v>1257.77</v>
      </c>
      <c r="H228">
        <v>433577</v>
      </c>
      <c r="I228" s="2">
        <v>-4.7000000000000002E-3</v>
      </c>
      <c r="J228">
        <v>1826.0319999999999</v>
      </c>
      <c r="K228">
        <v>-5.98</v>
      </c>
      <c r="L228" t="s">
        <v>14</v>
      </c>
    </row>
    <row r="229" spans="1:12" x14ac:dyDescent="0.25">
      <c r="A229" s="1">
        <v>45786</v>
      </c>
      <c r="B229" t="s">
        <v>15</v>
      </c>
      <c r="C229">
        <v>1965.72</v>
      </c>
      <c r="D229">
        <v>1982.72</v>
      </c>
      <c r="E229">
        <v>1954.34</v>
      </c>
      <c r="F229">
        <v>1968.38</v>
      </c>
      <c r="G229">
        <v>1966.47</v>
      </c>
      <c r="H229">
        <v>352871</v>
      </c>
      <c r="I229" s="2">
        <v>1.4E-3</v>
      </c>
      <c r="J229">
        <v>1824.53</v>
      </c>
      <c r="K229">
        <v>2.66</v>
      </c>
      <c r="L229" t="s">
        <v>12</v>
      </c>
    </row>
    <row r="230" spans="1:12" x14ac:dyDescent="0.25">
      <c r="A230" s="1">
        <v>45786</v>
      </c>
      <c r="B230" t="s">
        <v>16</v>
      </c>
      <c r="C230">
        <v>667.09</v>
      </c>
      <c r="D230">
        <v>684.05</v>
      </c>
      <c r="E230">
        <v>657.43</v>
      </c>
      <c r="F230">
        <v>673.56</v>
      </c>
      <c r="G230">
        <v>673.38</v>
      </c>
      <c r="H230">
        <v>313446</v>
      </c>
      <c r="I230" s="2">
        <v>9.7000000000000003E-3</v>
      </c>
      <c r="J230">
        <v>1821.5219999999999</v>
      </c>
      <c r="K230">
        <v>6.47</v>
      </c>
      <c r="L230" t="s">
        <v>12</v>
      </c>
    </row>
    <row r="231" spans="1:12" x14ac:dyDescent="0.25">
      <c r="A231" s="1">
        <v>45786</v>
      </c>
      <c r="B231" t="s">
        <v>17</v>
      </c>
      <c r="C231">
        <v>2352.64</v>
      </c>
      <c r="D231">
        <v>2368.4</v>
      </c>
      <c r="E231">
        <v>2337.25</v>
      </c>
      <c r="F231">
        <v>2343.2600000000002</v>
      </c>
      <c r="G231">
        <v>2345.23</v>
      </c>
      <c r="H231">
        <v>168722</v>
      </c>
      <c r="I231" s="2">
        <v>-4.0000000000000001E-3</v>
      </c>
      <c r="J231">
        <v>1820.546</v>
      </c>
      <c r="K231">
        <v>-9.3800000000000008</v>
      </c>
      <c r="L231" t="s">
        <v>14</v>
      </c>
    </row>
    <row r="232" spans="1:12" x14ac:dyDescent="0.25">
      <c r="A232" s="1">
        <v>45789</v>
      </c>
      <c r="B232" t="s">
        <v>11</v>
      </c>
      <c r="C232">
        <v>2890.14</v>
      </c>
      <c r="D232">
        <v>2909.18</v>
      </c>
      <c r="E232">
        <v>2874.7</v>
      </c>
      <c r="F232">
        <v>2885.71</v>
      </c>
      <c r="G232">
        <v>2885.99</v>
      </c>
      <c r="H232">
        <v>424752</v>
      </c>
      <c r="I232" s="2">
        <v>-1.5E-3</v>
      </c>
      <c r="J232">
        <v>1828.3520000000001</v>
      </c>
      <c r="K232">
        <v>-4.43</v>
      </c>
      <c r="L232" t="s">
        <v>14</v>
      </c>
    </row>
    <row r="233" spans="1:12" x14ac:dyDescent="0.25">
      <c r="A233" s="1">
        <v>45789</v>
      </c>
      <c r="B233" t="s">
        <v>13</v>
      </c>
      <c r="C233">
        <v>1257.67</v>
      </c>
      <c r="D233">
        <v>1265.4000000000001</v>
      </c>
      <c r="E233">
        <v>1247.48</v>
      </c>
      <c r="F233">
        <v>1251.74</v>
      </c>
      <c r="G233">
        <v>1253.33</v>
      </c>
      <c r="H233">
        <v>432936</v>
      </c>
      <c r="I233" s="2">
        <v>-4.7000000000000002E-3</v>
      </c>
      <c r="J233">
        <v>1829.7380000000001</v>
      </c>
      <c r="K233">
        <v>-5.93</v>
      </c>
      <c r="L233" t="s">
        <v>14</v>
      </c>
    </row>
    <row r="234" spans="1:12" x14ac:dyDescent="0.25">
      <c r="A234" s="1">
        <v>45789</v>
      </c>
      <c r="B234" t="s">
        <v>15</v>
      </c>
      <c r="C234">
        <v>1959.08</v>
      </c>
      <c r="D234">
        <v>1973.58</v>
      </c>
      <c r="E234">
        <v>1950.21</v>
      </c>
      <c r="F234">
        <v>1953.34</v>
      </c>
      <c r="G234">
        <v>1951.9</v>
      </c>
      <c r="H234">
        <v>172023</v>
      </c>
      <c r="I234" s="2">
        <v>-2.8999999999999998E-3</v>
      </c>
      <c r="J234">
        <v>1833.95</v>
      </c>
      <c r="K234">
        <v>-5.74</v>
      </c>
      <c r="L234" t="s">
        <v>14</v>
      </c>
    </row>
    <row r="235" spans="1:12" x14ac:dyDescent="0.25">
      <c r="A235" s="1">
        <v>45789</v>
      </c>
      <c r="B235" t="s">
        <v>16</v>
      </c>
      <c r="C235">
        <v>678.48</v>
      </c>
      <c r="D235">
        <v>692.48</v>
      </c>
      <c r="E235">
        <v>669.11</v>
      </c>
      <c r="F235">
        <v>668.68</v>
      </c>
      <c r="G235">
        <v>669.46</v>
      </c>
      <c r="H235">
        <v>483450</v>
      </c>
      <c r="I235" s="2">
        <v>-1.44E-2</v>
      </c>
      <c r="J235">
        <v>1832.386</v>
      </c>
      <c r="K235">
        <v>-9.8000000000000007</v>
      </c>
      <c r="L235" t="s">
        <v>14</v>
      </c>
    </row>
    <row r="236" spans="1:12" x14ac:dyDescent="0.25">
      <c r="A236" s="1">
        <v>45789</v>
      </c>
      <c r="B236" t="s">
        <v>17</v>
      </c>
      <c r="C236">
        <v>2372.69</v>
      </c>
      <c r="D236">
        <v>2381.8000000000002</v>
      </c>
      <c r="E236">
        <v>2366.5</v>
      </c>
      <c r="F236">
        <v>2382.29</v>
      </c>
      <c r="G236">
        <v>2380.63</v>
      </c>
      <c r="H236">
        <v>179608</v>
      </c>
      <c r="I236" s="2">
        <v>4.0000000000000001E-3</v>
      </c>
      <c r="J236">
        <v>1835.81</v>
      </c>
      <c r="K236">
        <v>9.6</v>
      </c>
      <c r="L236" t="s">
        <v>12</v>
      </c>
    </row>
    <row r="237" spans="1:12" x14ac:dyDescent="0.25">
      <c r="A237" s="1">
        <v>45790</v>
      </c>
      <c r="B237" t="s">
        <v>11</v>
      </c>
      <c r="C237">
        <v>2890.31</v>
      </c>
      <c r="D237">
        <v>2910.16</v>
      </c>
      <c r="E237">
        <v>2883.21</v>
      </c>
      <c r="F237">
        <v>2892.64</v>
      </c>
      <c r="G237">
        <v>2892.71</v>
      </c>
      <c r="H237">
        <v>273958</v>
      </c>
      <c r="I237" s="2">
        <v>8.0000000000000004E-4</v>
      </c>
      <c r="J237">
        <v>1830.2660000000001</v>
      </c>
      <c r="K237">
        <v>2.33</v>
      </c>
      <c r="L237" t="s">
        <v>12</v>
      </c>
    </row>
    <row r="238" spans="1:12" x14ac:dyDescent="0.25">
      <c r="A238" s="1">
        <v>45790</v>
      </c>
      <c r="B238" t="s">
        <v>13</v>
      </c>
      <c r="C238">
        <v>1274.55</v>
      </c>
      <c r="D238">
        <v>1282.1300000000001</v>
      </c>
      <c r="E238">
        <v>1266.67</v>
      </c>
      <c r="F238">
        <v>1272.8</v>
      </c>
      <c r="G238">
        <v>1270.96</v>
      </c>
      <c r="H238">
        <v>433143</v>
      </c>
      <c r="I238" s="2">
        <v>-1.4E-3</v>
      </c>
      <c r="J238">
        <v>1830.606</v>
      </c>
      <c r="K238">
        <v>-1.75</v>
      </c>
      <c r="L238" t="s">
        <v>14</v>
      </c>
    </row>
    <row r="239" spans="1:12" x14ac:dyDescent="0.25">
      <c r="A239" s="1">
        <v>45790</v>
      </c>
      <c r="B239" t="s">
        <v>15</v>
      </c>
      <c r="C239">
        <v>1943.12</v>
      </c>
      <c r="D239">
        <v>1952.2</v>
      </c>
      <c r="E239">
        <v>1937.84</v>
      </c>
      <c r="F239">
        <v>1945.52</v>
      </c>
      <c r="G239">
        <v>1947.18</v>
      </c>
      <c r="H239">
        <v>388550</v>
      </c>
      <c r="I239" s="2">
        <v>1.1999999999999999E-3</v>
      </c>
      <c r="J239">
        <v>1825.126</v>
      </c>
      <c r="K239">
        <v>2.4</v>
      </c>
      <c r="L239" t="s">
        <v>12</v>
      </c>
    </row>
    <row r="240" spans="1:12" x14ac:dyDescent="0.25">
      <c r="A240" s="1">
        <v>45790</v>
      </c>
      <c r="B240" t="s">
        <v>16</v>
      </c>
      <c r="C240">
        <v>686.72</v>
      </c>
      <c r="D240">
        <v>692.31</v>
      </c>
      <c r="E240">
        <v>674.51</v>
      </c>
      <c r="F240">
        <v>685.8</v>
      </c>
      <c r="G240">
        <v>684.22</v>
      </c>
      <c r="H240">
        <v>366941</v>
      </c>
      <c r="I240" s="2">
        <v>-1.2999999999999999E-3</v>
      </c>
      <c r="J240">
        <v>1826.2159999999999</v>
      </c>
      <c r="K240">
        <v>-0.92</v>
      </c>
      <c r="L240" t="s">
        <v>14</v>
      </c>
    </row>
    <row r="241" spans="1:12" x14ac:dyDescent="0.25">
      <c r="A241" s="1">
        <v>45790</v>
      </c>
      <c r="B241" t="s">
        <v>17</v>
      </c>
      <c r="C241">
        <v>2355.9899999999998</v>
      </c>
      <c r="D241">
        <v>2366.31</v>
      </c>
      <c r="E241">
        <v>2349.9499999999998</v>
      </c>
      <c r="F241">
        <v>2354.5700000000002</v>
      </c>
      <c r="G241">
        <v>2354.65</v>
      </c>
      <c r="H241">
        <v>451427</v>
      </c>
      <c r="I241" s="2">
        <v>-5.9999999999999995E-4</v>
      </c>
      <c r="J241">
        <v>1824.3620000000001</v>
      </c>
      <c r="K241">
        <v>-1.42</v>
      </c>
      <c r="L241" t="s">
        <v>14</v>
      </c>
    </row>
    <row r="242" spans="1:12" x14ac:dyDescent="0.25">
      <c r="A242" s="1">
        <v>45791</v>
      </c>
      <c r="B242" t="s">
        <v>11</v>
      </c>
      <c r="C242">
        <v>2891.58</v>
      </c>
      <c r="D242">
        <v>2907.04</v>
      </c>
      <c r="E242">
        <v>2876.04</v>
      </c>
      <c r="F242">
        <v>2894.34</v>
      </c>
      <c r="G242">
        <v>2893.78</v>
      </c>
      <c r="H242">
        <v>356538</v>
      </c>
      <c r="I242" s="2">
        <v>1E-3</v>
      </c>
      <c r="J242">
        <v>1826.104</v>
      </c>
      <c r="K242">
        <v>2.76</v>
      </c>
      <c r="L242" t="s">
        <v>12</v>
      </c>
    </row>
    <row r="243" spans="1:12" x14ac:dyDescent="0.25">
      <c r="A243" s="1">
        <v>45791</v>
      </c>
      <c r="B243" t="s">
        <v>13</v>
      </c>
      <c r="C243">
        <v>1248.7</v>
      </c>
      <c r="D243">
        <v>1256.3599999999999</v>
      </c>
      <c r="E243">
        <v>1242.3699999999999</v>
      </c>
      <c r="F243">
        <v>1245.4000000000001</v>
      </c>
      <c r="G243">
        <v>1243.8800000000001</v>
      </c>
      <c r="H243">
        <v>455915</v>
      </c>
      <c r="I243" s="2">
        <v>-2.5999999999999999E-3</v>
      </c>
      <c r="J243">
        <v>1825.9559999999999</v>
      </c>
      <c r="K243">
        <v>-3.3</v>
      </c>
      <c r="L243" t="s">
        <v>14</v>
      </c>
    </row>
    <row r="244" spans="1:12" x14ac:dyDescent="0.25">
      <c r="A244" s="1">
        <v>45791</v>
      </c>
      <c r="B244" t="s">
        <v>15</v>
      </c>
      <c r="C244">
        <v>1957.96</v>
      </c>
      <c r="D244">
        <v>1967.07</v>
      </c>
      <c r="E244">
        <v>1944.65</v>
      </c>
      <c r="F244">
        <v>1950.97</v>
      </c>
      <c r="G244">
        <v>1951.58</v>
      </c>
      <c r="H244">
        <v>452208</v>
      </c>
      <c r="I244" s="2">
        <v>-3.5999999999999999E-3</v>
      </c>
      <c r="J244">
        <v>1824.4079999999999</v>
      </c>
      <c r="K244">
        <v>-6.99</v>
      </c>
      <c r="L244" t="s">
        <v>14</v>
      </c>
    </row>
    <row r="245" spans="1:12" x14ac:dyDescent="0.25">
      <c r="A245" s="1">
        <v>45791</v>
      </c>
      <c r="B245" t="s">
        <v>16</v>
      </c>
      <c r="C245">
        <v>682.96</v>
      </c>
      <c r="D245">
        <v>697.23</v>
      </c>
      <c r="E245">
        <v>667.42</v>
      </c>
      <c r="F245">
        <v>676.53</v>
      </c>
      <c r="G245">
        <v>676.77</v>
      </c>
      <c r="H245">
        <v>125875</v>
      </c>
      <c r="I245" s="2">
        <v>-9.4000000000000004E-3</v>
      </c>
      <c r="J245">
        <v>1824.8140000000001</v>
      </c>
      <c r="K245">
        <v>-6.43</v>
      </c>
      <c r="L245" t="s">
        <v>14</v>
      </c>
    </row>
    <row r="246" spans="1:12" x14ac:dyDescent="0.25">
      <c r="A246" s="1">
        <v>45791</v>
      </c>
      <c r="B246" t="s">
        <v>17</v>
      </c>
      <c r="C246">
        <v>2369.34</v>
      </c>
      <c r="D246">
        <v>2387.54</v>
      </c>
      <c r="E246">
        <v>2354.58</v>
      </c>
      <c r="F246">
        <v>2363.2800000000002</v>
      </c>
      <c r="G246">
        <v>2363.41</v>
      </c>
      <c r="H246">
        <v>217413</v>
      </c>
      <c r="I246" s="2">
        <v>-2.5999999999999999E-3</v>
      </c>
      <c r="J246">
        <v>1824.87</v>
      </c>
      <c r="K246">
        <v>-6.06</v>
      </c>
      <c r="L246" t="s">
        <v>14</v>
      </c>
    </row>
    <row r="247" spans="1:12" x14ac:dyDescent="0.25">
      <c r="A247" s="1">
        <v>45792</v>
      </c>
      <c r="B247" t="s">
        <v>11</v>
      </c>
      <c r="C247">
        <v>2897.05</v>
      </c>
      <c r="D247">
        <v>2914.2</v>
      </c>
      <c r="E247">
        <v>2879.04</v>
      </c>
      <c r="F247">
        <v>2893.6</v>
      </c>
      <c r="G247">
        <v>2895.25</v>
      </c>
      <c r="H247">
        <v>379100</v>
      </c>
      <c r="I247" s="2">
        <v>-1.1999999999999999E-3</v>
      </c>
      <c r="J247">
        <v>1821.548</v>
      </c>
      <c r="K247">
        <v>-3.45</v>
      </c>
      <c r="L247" t="s">
        <v>14</v>
      </c>
    </row>
    <row r="248" spans="1:12" x14ac:dyDescent="0.25">
      <c r="A248" s="1">
        <v>45792</v>
      </c>
      <c r="B248" t="s">
        <v>13</v>
      </c>
      <c r="C248">
        <v>1239.6600000000001</v>
      </c>
      <c r="D248">
        <v>1250.1199999999999</v>
      </c>
      <c r="E248">
        <v>1227.1099999999999</v>
      </c>
      <c r="F248">
        <v>1237.6600000000001</v>
      </c>
      <c r="G248">
        <v>1238.42</v>
      </c>
      <c r="H248">
        <v>290209</v>
      </c>
      <c r="I248" s="2">
        <v>-1.6000000000000001E-3</v>
      </c>
      <c r="J248">
        <v>1825.5319999999999</v>
      </c>
      <c r="K248">
        <v>-2</v>
      </c>
      <c r="L248" t="s">
        <v>14</v>
      </c>
    </row>
    <row r="249" spans="1:12" x14ac:dyDescent="0.25">
      <c r="A249" s="1">
        <v>45792</v>
      </c>
      <c r="B249" t="s">
        <v>15</v>
      </c>
      <c r="C249">
        <v>1951.31</v>
      </c>
      <c r="D249">
        <v>1956.47</v>
      </c>
      <c r="E249">
        <v>1944.26</v>
      </c>
      <c r="F249">
        <v>1953</v>
      </c>
      <c r="G249">
        <v>1954.6</v>
      </c>
      <c r="H249">
        <v>146301</v>
      </c>
      <c r="I249" s="2">
        <v>8.9999999999999998E-4</v>
      </c>
      <c r="J249">
        <v>1827.5419999999999</v>
      </c>
      <c r="K249">
        <v>1.69</v>
      </c>
      <c r="L249" t="s">
        <v>12</v>
      </c>
    </row>
    <row r="250" spans="1:12" x14ac:dyDescent="0.25">
      <c r="A250" s="1">
        <v>45792</v>
      </c>
      <c r="B250" t="s">
        <v>16</v>
      </c>
      <c r="C250">
        <v>674.24</v>
      </c>
      <c r="D250">
        <v>684.5</v>
      </c>
      <c r="E250">
        <v>668.74</v>
      </c>
      <c r="F250">
        <v>676.81</v>
      </c>
      <c r="G250">
        <v>675.12</v>
      </c>
      <c r="H250">
        <v>291345</v>
      </c>
      <c r="I250" s="2">
        <v>3.8E-3</v>
      </c>
      <c r="J250">
        <v>1829.54</v>
      </c>
      <c r="K250">
        <v>2.57</v>
      </c>
      <c r="L250" t="s">
        <v>12</v>
      </c>
    </row>
    <row r="251" spans="1:12" x14ac:dyDescent="0.25">
      <c r="A251" s="1">
        <v>45792</v>
      </c>
      <c r="B251" t="s">
        <v>17</v>
      </c>
      <c r="C251">
        <v>2355.27</v>
      </c>
      <c r="D251">
        <v>2370.31</v>
      </c>
      <c r="E251">
        <v>2335.36</v>
      </c>
      <c r="F251">
        <v>2346.67</v>
      </c>
      <c r="G251">
        <v>2347.3200000000002</v>
      </c>
      <c r="H251">
        <v>419470</v>
      </c>
      <c r="I251" s="2">
        <v>-3.7000000000000002E-3</v>
      </c>
      <c r="J251">
        <v>1828.31</v>
      </c>
      <c r="K251">
        <v>-8.6</v>
      </c>
      <c r="L251" t="s">
        <v>14</v>
      </c>
    </row>
    <row r="252" spans="1:12" x14ac:dyDescent="0.25">
      <c r="A252" s="1">
        <v>45793</v>
      </c>
      <c r="B252" t="s">
        <v>11</v>
      </c>
      <c r="C252">
        <v>2893.15</v>
      </c>
      <c r="D252">
        <v>2910.12</v>
      </c>
      <c r="E252">
        <v>2878.4</v>
      </c>
      <c r="F252">
        <v>2913.52</v>
      </c>
      <c r="G252">
        <v>2914.33</v>
      </c>
      <c r="H252">
        <v>137012</v>
      </c>
      <c r="I252" s="2">
        <v>7.0000000000000001E-3</v>
      </c>
      <c r="J252">
        <v>1836.75</v>
      </c>
      <c r="K252">
        <v>20.37</v>
      </c>
      <c r="L252" t="s">
        <v>12</v>
      </c>
    </row>
    <row r="253" spans="1:12" x14ac:dyDescent="0.25">
      <c r="A253" s="1">
        <v>45793</v>
      </c>
      <c r="B253" t="s">
        <v>13</v>
      </c>
      <c r="C253">
        <v>1247</v>
      </c>
      <c r="D253">
        <v>1265.0999999999999</v>
      </c>
      <c r="E253">
        <v>1228.19</v>
      </c>
      <c r="F253">
        <v>1247.71</v>
      </c>
      <c r="G253">
        <v>1245.95</v>
      </c>
      <c r="H253">
        <v>473094</v>
      </c>
      <c r="I253" s="2">
        <v>5.9999999999999995E-4</v>
      </c>
      <c r="J253">
        <v>1832.23</v>
      </c>
      <c r="K253">
        <v>0.71</v>
      </c>
      <c r="L253" t="s">
        <v>12</v>
      </c>
    </row>
    <row r="254" spans="1:12" x14ac:dyDescent="0.25">
      <c r="A254" s="1">
        <v>45793</v>
      </c>
      <c r="B254" t="s">
        <v>15</v>
      </c>
      <c r="C254">
        <v>1958.56</v>
      </c>
      <c r="D254">
        <v>1972.57</v>
      </c>
      <c r="E254">
        <v>1943.58</v>
      </c>
      <c r="F254">
        <v>1962.99</v>
      </c>
      <c r="G254">
        <v>1961.69</v>
      </c>
      <c r="H254">
        <v>390218</v>
      </c>
      <c r="I254" s="2">
        <v>2.3E-3</v>
      </c>
      <c r="J254">
        <v>1835.414</v>
      </c>
      <c r="K254">
        <v>4.43</v>
      </c>
      <c r="L254" t="s">
        <v>12</v>
      </c>
    </row>
    <row r="255" spans="1:12" x14ac:dyDescent="0.25">
      <c r="A255" s="1">
        <v>45793</v>
      </c>
      <c r="B255" t="s">
        <v>16</v>
      </c>
      <c r="C255">
        <v>672.98</v>
      </c>
      <c r="D255">
        <v>686.49</v>
      </c>
      <c r="E255">
        <v>657.64</v>
      </c>
      <c r="F255">
        <v>670.66</v>
      </c>
      <c r="G255">
        <v>671.86</v>
      </c>
      <c r="H255">
        <v>430578</v>
      </c>
      <c r="I255" s="2">
        <v>-3.3999999999999998E-3</v>
      </c>
      <c r="J255">
        <v>1834.3040000000001</v>
      </c>
      <c r="K255">
        <v>-2.3199999999999998</v>
      </c>
      <c r="L255" t="s">
        <v>14</v>
      </c>
    </row>
    <row r="256" spans="1:12" x14ac:dyDescent="0.25">
      <c r="A256" s="1">
        <v>45793</v>
      </c>
      <c r="B256" t="s">
        <v>17</v>
      </c>
      <c r="C256">
        <v>2383.73</v>
      </c>
      <c r="D256">
        <v>2395.71</v>
      </c>
      <c r="E256">
        <v>2377.83</v>
      </c>
      <c r="F256">
        <v>2388.87</v>
      </c>
      <c r="G256">
        <v>2389.12</v>
      </c>
      <c r="H256">
        <v>243239</v>
      </c>
      <c r="I256" s="2">
        <v>2.2000000000000001E-3</v>
      </c>
      <c r="J256">
        <v>1834.5440000000001</v>
      </c>
      <c r="K256">
        <v>5.14</v>
      </c>
      <c r="L256" t="s">
        <v>12</v>
      </c>
    </row>
    <row r="257" spans="1:12" x14ac:dyDescent="0.25">
      <c r="A257" s="1">
        <v>45796</v>
      </c>
      <c r="B257" t="s">
        <v>11</v>
      </c>
      <c r="C257">
        <v>2890.32</v>
      </c>
      <c r="D257">
        <v>2900.39</v>
      </c>
      <c r="E257">
        <v>2879.69</v>
      </c>
      <c r="F257">
        <v>2890.92</v>
      </c>
      <c r="G257">
        <v>2889.3</v>
      </c>
      <c r="H257">
        <v>147218</v>
      </c>
      <c r="I257" s="2">
        <v>2.0000000000000001E-4</v>
      </c>
      <c r="J257">
        <v>1829.4760000000001</v>
      </c>
      <c r="K257">
        <v>0.6</v>
      </c>
      <c r="L257" t="s">
        <v>12</v>
      </c>
    </row>
    <row r="258" spans="1:12" x14ac:dyDescent="0.25">
      <c r="A258" s="1">
        <v>45796</v>
      </c>
      <c r="B258" t="s">
        <v>13</v>
      </c>
      <c r="C258">
        <v>1262.51</v>
      </c>
      <c r="D258">
        <v>1278.73</v>
      </c>
      <c r="E258">
        <v>1254.74</v>
      </c>
      <c r="F258">
        <v>1263.6300000000001</v>
      </c>
      <c r="G258">
        <v>1262.47</v>
      </c>
      <c r="H258">
        <v>486731</v>
      </c>
      <c r="I258" s="2">
        <v>8.9999999999999998E-4</v>
      </c>
      <c r="J258">
        <v>1827.8879999999999</v>
      </c>
      <c r="K258">
        <v>1.1200000000000001</v>
      </c>
      <c r="L258" t="s">
        <v>12</v>
      </c>
    </row>
    <row r="259" spans="1:12" x14ac:dyDescent="0.25">
      <c r="A259" s="1">
        <v>45796</v>
      </c>
      <c r="B259" t="s">
        <v>15</v>
      </c>
      <c r="C259">
        <v>1954.42</v>
      </c>
      <c r="D259">
        <v>1965.17</v>
      </c>
      <c r="E259">
        <v>1941.64</v>
      </c>
      <c r="F259">
        <v>1957.44</v>
      </c>
      <c r="G259">
        <v>1955.63</v>
      </c>
      <c r="H259">
        <v>152259</v>
      </c>
      <c r="I259" s="2">
        <v>1.5E-3</v>
      </c>
      <c r="J259">
        <v>1823.4839999999999</v>
      </c>
      <c r="K259">
        <v>3.02</v>
      </c>
      <c r="L259" t="s">
        <v>12</v>
      </c>
    </row>
    <row r="260" spans="1:12" x14ac:dyDescent="0.25">
      <c r="A260" s="1">
        <v>45796</v>
      </c>
      <c r="B260" t="s">
        <v>16</v>
      </c>
      <c r="C260">
        <v>678.07</v>
      </c>
      <c r="D260">
        <v>684.64</v>
      </c>
      <c r="E260">
        <v>663.52</v>
      </c>
      <c r="F260">
        <v>671.86</v>
      </c>
      <c r="G260">
        <v>672.69</v>
      </c>
      <c r="H260">
        <v>455714</v>
      </c>
      <c r="I260" s="2">
        <v>-9.1999999999999998E-3</v>
      </c>
      <c r="J260">
        <v>1822.7260000000001</v>
      </c>
      <c r="K260">
        <v>-6.21</v>
      </c>
      <c r="L260" t="s">
        <v>14</v>
      </c>
    </row>
    <row r="261" spans="1:12" x14ac:dyDescent="0.25">
      <c r="A261" s="1">
        <v>45796</v>
      </c>
      <c r="B261" t="s">
        <v>17</v>
      </c>
      <c r="C261">
        <v>2357.09</v>
      </c>
      <c r="D261">
        <v>2370.13</v>
      </c>
      <c r="E261">
        <v>2350.64</v>
      </c>
      <c r="F261">
        <v>2363.5300000000002</v>
      </c>
      <c r="G261">
        <v>2363.33</v>
      </c>
      <c r="H261">
        <v>116714</v>
      </c>
      <c r="I261" s="2">
        <v>2.7000000000000001E-3</v>
      </c>
      <c r="J261">
        <v>1824.1859999999999</v>
      </c>
      <c r="K261">
        <v>6.44</v>
      </c>
      <c r="L261" t="s">
        <v>12</v>
      </c>
    </row>
    <row r="262" spans="1:12" x14ac:dyDescent="0.25">
      <c r="A262" s="1">
        <v>45797</v>
      </c>
      <c r="B262" t="s">
        <v>11</v>
      </c>
      <c r="C262">
        <v>2883.15</v>
      </c>
      <c r="D262">
        <v>2895.13</v>
      </c>
      <c r="E262">
        <v>2870.01</v>
      </c>
      <c r="F262">
        <v>2882.98</v>
      </c>
      <c r="G262">
        <v>2882.13</v>
      </c>
      <c r="H262">
        <v>480225</v>
      </c>
      <c r="I262" s="2">
        <v>-1E-4</v>
      </c>
      <c r="J262">
        <v>1824.4480000000001</v>
      </c>
      <c r="K262">
        <v>-0.17</v>
      </c>
      <c r="L262" t="s">
        <v>14</v>
      </c>
    </row>
    <row r="263" spans="1:12" x14ac:dyDescent="0.25">
      <c r="A263" s="1">
        <v>45797</v>
      </c>
      <c r="B263" t="s">
        <v>13</v>
      </c>
      <c r="C263">
        <v>1251.25</v>
      </c>
      <c r="D263">
        <v>1265.52</v>
      </c>
      <c r="E263">
        <v>1240.72</v>
      </c>
      <c r="F263">
        <v>1241.6099999999999</v>
      </c>
      <c r="G263">
        <v>1241.46</v>
      </c>
      <c r="H263">
        <v>410408</v>
      </c>
      <c r="I263" s="2">
        <v>-7.7000000000000002E-3</v>
      </c>
      <c r="J263">
        <v>1823.5239999999999</v>
      </c>
      <c r="K263">
        <v>-9.64</v>
      </c>
      <c r="L263" t="s">
        <v>14</v>
      </c>
    </row>
    <row r="264" spans="1:12" x14ac:dyDescent="0.25">
      <c r="A264" s="1">
        <v>45797</v>
      </c>
      <c r="B264" t="s">
        <v>15</v>
      </c>
      <c r="C264">
        <v>1961.18</v>
      </c>
      <c r="D264">
        <v>1967.42</v>
      </c>
      <c r="E264">
        <v>1947.13</v>
      </c>
      <c r="F264">
        <v>1953.65</v>
      </c>
      <c r="G264">
        <v>1952.63</v>
      </c>
      <c r="H264">
        <v>106869</v>
      </c>
      <c r="I264" s="2">
        <v>-3.8E-3</v>
      </c>
      <c r="J264">
        <v>1827.2919999999999</v>
      </c>
      <c r="K264">
        <v>-7.53</v>
      </c>
      <c r="L264" t="s">
        <v>14</v>
      </c>
    </row>
    <row r="265" spans="1:12" x14ac:dyDescent="0.25">
      <c r="A265" s="1">
        <v>45797</v>
      </c>
      <c r="B265" t="s">
        <v>16</v>
      </c>
      <c r="C265">
        <v>683.6</v>
      </c>
      <c r="D265">
        <v>699.24</v>
      </c>
      <c r="E265">
        <v>665.54</v>
      </c>
      <c r="F265">
        <v>679.16</v>
      </c>
      <c r="G265">
        <v>680.02</v>
      </c>
      <c r="H265">
        <v>477375</v>
      </c>
      <c r="I265" s="2">
        <v>-6.4999999999999997E-3</v>
      </c>
      <c r="J265">
        <v>1823.37</v>
      </c>
      <c r="K265">
        <v>-4.4400000000000004</v>
      </c>
      <c r="L265" t="s">
        <v>14</v>
      </c>
    </row>
    <row r="266" spans="1:12" x14ac:dyDescent="0.25">
      <c r="A266" s="1">
        <v>45797</v>
      </c>
      <c r="B266" t="s">
        <v>17</v>
      </c>
      <c r="C266">
        <v>2359.64</v>
      </c>
      <c r="D266">
        <v>2374.61</v>
      </c>
      <c r="E266">
        <v>2342.71</v>
      </c>
      <c r="F266">
        <v>2364.84</v>
      </c>
      <c r="G266">
        <v>2366.5500000000002</v>
      </c>
      <c r="H266">
        <v>100814</v>
      </c>
      <c r="I266" s="2">
        <v>2.2000000000000001E-3</v>
      </c>
      <c r="J266">
        <v>1825.172</v>
      </c>
      <c r="K266">
        <v>5.2</v>
      </c>
      <c r="L266" t="s">
        <v>12</v>
      </c>
    </row>
    <row r="267" spans="1:12" x14ac:dyDescent="0.25">
      <c r="A267" s="1">
        <v>45798</v>
      </c>
      <c r="B267" t="s">
        <v>11</v>
      </c>
      <c r="C267">
        <v>2883.85</v>
      </c>
      <c r="D267">
        <v>2889.41</v>
      </c>
      <c r="E267">
        <v>2866.51</v>
      </c>
      <c r="F267">
        <v>2878.36</v>
      </c>
      <c r="G267">
        <v>2877.8</v>
      </c>
      <c r="H267">
        <v>424384</v>
      </c>
      <c r="I267" s="2">
        <v>-1.9E-3</v>
      </c>
      <c r="J267">
        <v>1821.8679999999999</v>
      </c>
      <c r="K267">
        <v>-5.49</v>
      </c>
      <c r="L267" t="s">
        <v>14</v>
      </c>
    </row>
    <row r="268" spans="1:12" x14ac:dyDescent="0.25">
      <c r="A268" s="1">
        <v>45798</v>
      </c>
      <c r="B268" t="s">
        <v>13</v>
      </c>
      <c r="C268">
        <v>1262.51</v>
      </c>
      <c r="D268">
        <v>1280.94</v>
      </c>
      <c r="E268">
        <v>1249.83</v>
      </c>
      <c r="F268">
        <v>1260.45</v>
      </c>
      <c r="G268">
        <v>1260.58</v>
      </c>
      <c r="H268">
        <v>360471</v>
      </c>
      <c r="I268" s="2">
        <v>-1.6000000000000001E-3</v>
      </c>
      <c r="J268">
        <v>1823.6780000000001</v>
      </c>
      <c r="K268">
        <v>-2.06</v>
      </c>
      <c r="L268" t="s">
        <v>14</v>
      </c>
    </row>
    <row r="269" spans="1:12" x14ac:dyDescent="0.25">
      <c r="A269" s="1">
        <v>45798</v>
      </c>
      <c r="B269" t="s">
        <v>15</v>
      </c>
      <c r="C269">
        <v>1940.76</v>
      </c>
      <c r="D269">
        <v>1951.1</v>
      </c>
      <c r="E269">
        <v>1924.97</v>
      </c>
      <c r="F269">
        <v>1934.04</v>
      </c>
      <c r="G269">
        <v>1933.23</v>
      </c>
      <c r="H269">
        <v>118793</v>
      </c>
      <c r="I269" s="2">
        <v>-3.5000000000000001E-3</v>
      </c>
      <c r="J269">
        <v>1821.6120000000001</v>
      </c>
      <c r="K269">
        <v>-6.72</v>
      </c>
      <c r="L269" t="s">
        <v>14</v>
      </c>
    </row>
    <row r="270" spans="1:12" x14ac:dyDescent="0.25">
      <c r="A270" s="1">
        <v>45798</v>
      </c>
      <c r="B270" t="s">
        <v>16</v>
      </c>
      <c r="C270">
        <v>677.21</v>
      </c>
      <c r="D270">
        <v>694.43</v>
      </c>
      <c r="E270">
        <v>671.01</v>
      </c>
      <c r="F270">
        <v>688.17</v>
      </c>
      <c r="G270">
        <v>689.75</v>
      </c>
      <c r="H270">
        <v>223603</v>
      </c>
      <c r="I270" s="2">
        <v>1.6199999999999999E-2</v>
      </c>
      <c r="J270">
        <v>1826.33</v>
      </c>
      <c r="K270">
        <v>10.96</v>
      </c>
      <c r="L270" t="s">
        <v>12</v>
      </c>
    </row>
    <row r="271" spans="1:12" x14ac:dyDescent="0.25">
      <c r="A271" s="1">
        <v>45798</v>
      </c>
      <c r="B271" t="s">
        <v>17</v>
      </c>
      <c r="C271">
        <v>2361.66</v>
      </c>
      <c r="D271">
        <v>2368.9499999999998</v>
      </c>
      <c r="E271">
        <v>2341.77</v>
      </c>
      <c r="F271">
        <v>2348.3200000000002</v>
      </c>
      <c r="G271">
        <v>2350.0300000000002</v>
      </c>
      <c r="H271">
        <v>464982</v>
      </c>
      <c r="I271" s="2">
        <v>-5.5999999999999999E-3</v>
      </c>
      <c r="J271">
        <v>1827.84</v>
      </c>
      <c r="K271">
        <v>-13.34</v>
      </c>
      <c r="L271" t="s">
        <v>14</v>
      </c>
    </row>
    <row r="272" spans="1:12" x14ac:dyDescent="0.25">
      <c r="A272" s="1">
        <v>45799</v>
      </c>
      <c r="B272" t="s">
        <v>11</v>
      </c>
      <c r="C272">
        <v>2888.64</v>
      </c>
      <c r="D272">
        <v>2905.19</v>
      </c>
      <c r="E272">
        <v>2880.4</v>
      </c>
      <c r="F272">
        <v>2887.41</v>
      </c>
      <c r="G272">
        <v>2887.9</v>
      </c>
      <c r="H272">
        <v>141348</v>
      </c>
      <c r="I272" s="2">
        <v>-4.0000000000000002E-4</v>
      </c>
      <c r="J272">
        <v>1833.99</v>
      </c>
      <c r="K272">
        <v>-1.23</v>
      </c>
      <c r="L272" t="s">
        <v>14</v>
      </c>
    </row>
    <row r="273" spans="1:12" x14ac:dyDescent="0.25">
      <c r="A273" s="1">
        <v>45799</v>
      </c>
      <c r="B273" t="s">
        <v>13</v>
      </c>
      <c r="C273">
        <v>1252.72</v>
      </c>
      <c r="D273">
        <v>1265.71</v>
      </c>
      <c r="E273">
        <v>1244.08</v>
      </c>
      <c r="F273">
        <v>1250.1199999999999</v>
      </c>
      <c r="G273">
        <v>1249.2</v>
      </c>
      <c r="H273">
        <v>196462</v>
      </c>
      <c r="I273" s="2">
        <v>-2.0999999999999999E-3</v>
      </c>
      <c r="J273">
        <v>1840.596</v>
      </c>
      <c r="K273">
        <v>-2.6</v>
      </c>
      <c r="L273" t="s">
        <v>14</v>
      </c>
    </row>
    <row r="274" spans="1:12" x14ac:dyDescent="0.25">
      <c r="A274" s="1">
        <v>45799</v>
      </c>
      <c r="B274" t="s">
        <v>15</v>
      </c>
      <c r="C274">
        <v>1946.51</v>
      </c>
      <c r="D274">
        <v>1961.47</v>
      </c>
      <c r="E274">
        <v>1927.46</v>
      </c>
      <c r="F274">
        <v>1957.63</v>
      </c>
      <c r="G274">
        <v>1958.56</v>
      </c>
      <c r="H274">
        <v>234357</v>
      </c>
      <c r="I274" s="2">
        <v>5.7000000000000002E-3</v>
      </c>
      <c r="J274">
        <v>1841.116</v>
      </c>
      <c r="K274">
        <v>11.12</v>
      </c>
      <c r="L274" t="s">
        <v>12</v>
      </c>
    </row>
    <row r="275" spans="1:12" x14ac:dyDescent="0.25">
      <c r="A275" s="1">
        <v>45799</v>
      </c>
      <c r="B275" t="s">
        <v>16</v>
      </c>
      <c r="C275">
        <v>696.17</v>
      </c>
      <c r="D275">
        <v>707.95</v>
      </c>
      <c r="E275">
        <v>681.52</v>
      </c>
      <c r="F275">
        <v>695.72</v>
      </c>
      <c r="G275">
        <v>695.83</v>
      </c>
      <c r="H275">
        <v>153850</v>
      </c>
      <c r="I275" s="2">
        <v>-5.9999999999999995E-4</v>
      </c>
      <c r="J275">
        <v>1839.818</v>
      </c>
      <c r="K275">
        <v>-0.45</v>
      </c>
      <c r="L275" t="s">
        <v>14</v>
      </c>
    </row>
    <row r="276" spans="1:12" x14ac:dyDescent="0.25">
      <c r="A276" s="1">
        <v>45799</v>
      </c>
      <c r="B276" t="s">
        <v>17</v>
      </c>
      <c r="C276">
        <v>2379.13</v>
      </c>
      <c r="D276">
        <v>2391.94</v>
      </c>
      <c r="E276">
        <v>2364.7800000000002</v>
      </c>
      <c r="F276">
        <v>2379.0700000000002</v>
      </c>
      <c r="G276">
        <v>2377.4299999999998</v>
      </c>
      <c r="H276">
        <v>115372</v>
      </c>
      <c r="I276" s="2">
        <v>0</v>
      </c>
      <c r="J276">
        <v>1836.4580000000001</v>
      </c>
      <c r="K276">
        <v>-0.06</v>
      </c>
      <c r="L276" t="s">
        <v>14</v>
      </c>
    </row>
    <row r="277" spans="1:12" x14ac:dyDescent="0.25">
      <c r="A277" s="1">
        <v>45800</v>
      </c>
      <c r="B277" t="s">
        <v>11</v>
      </c>
      <c r="C277">
        <v>2911.89</v>
      </c>
      <c r="D277">
        <v>2926.45</v>
      </c>
      <c r="E277">
        <v>2896</v>
      </c>
      <c r="F277">
        <v>2920.44</v>
      </c>
      <c r="G277">
        <v>2922.34</v>
      </c>
      <c r="H277">
        <v>232136</v>
      </c>
      <c r="I277" s="2">
        <v>2.8999999999999998E-3</v>
      </c>
      <c r="J277">
        <v>1833.4179999999999</v>
      </c>
      <c r="K277">
        <v>8.5500000000000007</v>
      </c>
      <c r="L277" t="s">
        <v>12</v>
      </c>
    </row>
    <row r="278" spans="1:12" x14ac:dyDescent="0.25">
      <c r="A278" s="1">
        <v>45800</v>
      </c>
      <c r="B278" t="s">
        <v>13</v>
      </c>
      <c r="C278">
        <v>1252.1300000000001</v>
      </c>
      <c r="D278">
        <v>1261.96</v>
      </c>
      <c r="E278">
        <v>1243.96</v>
      </c>
      <c r="F278">
        <v>1252.72</v>
      </c>
      <c r="G278">
        <v>1252.03</v>
      </c>
      <c r="H278">
        <v>135327</v>
      </c>
      <c r="I278" s="2">
        <v>5.0000000000000001E-4</v>
      </c>
      <c r="J278">
        <v>1823.854</v>
      </c>
      <c r="K278">
        <v>0.59</v>
      </c>
      <c r="L278" t="s">
        <v>12</v>
      </c>
    </row>
    <row r="279" spans="1:12" x14ac:dyDescent="0.25">
      <c r="A279" s="1">
        <v>45800</v>
      </c>
      <c r="B279" t="s">
        <v>15</v>
      </c>
      <c r="C279">
        <v>1962.08</v>
      </c>
      <c r="D279">
        <v>1967.85</v>
      </c>
      <c r="E279">
        <v>1949.63</v>
      </c>
      <c r="F279">
        <v>1951.14</v>
      </c>
      <c r="G279">
        <v>1951.53</v>
      </c>
      <c r="H279">
        <v>392564</v>
      </c>
      <c r="I279" s="2">
        <v>-5.5999999999999999E-3</v>
      </c>
      <c r="J279">
        <v>1828.8019999999999</v>
      </c>
      <c r="K279">
        <v>-10.94</v>
      </c>
      <c r="L279" t="s">
        <v>14</v>
      </c>
    </row>
    <row r="280" spans="1:12" x14ac:dyDescent="0.25">
      <c r="A280" s="1">
        <v>45800</v>
      </c>
      <c r="B280" t="s">
        <v>16</v>
      </c>
      <c r="C280">
        <v>679.3</v>
      </c>
      <c r="D280">
        <v>685.21</v>
      </c>
      <c r="E280">
        <v>670.59</v>
      </c>
      <c r="F280">
        <v>678.92</v>
      </c>
      <c r="G280">
        <v>677.56</v>
      </c>
      <c r="H280">
        <v>362083</v>
      </c>
      <c r="I280" s="2">
        <v>-5.9999999999999995E-4</v>
      </c>
      <c r="J280">
        <v>1831.4159999999999</v>
      </c>
      <c r="K280">
        <v>-0.38</v>
      </c>
      <c r="L280" t="s">
        <v>14</v>
      </c>
    </row>
    <row r="281" spans="1:12" x14ac:dyDescent="0.25">
      <c r="A281" s="1">
        <v>45800</v>
      </c>
      <c r="B281" t="s">
        <v>17</v>
      </c>
      <c r="C281">
        <v>2361.73</v>
      </c>
      <c r="D281">
        <v>2379.12</v>
      </c>
      <c r="E281">
        <v>2345</v>
      </c>
      <c r="F281">
        <v>2363.87</v>
      </c>
      <c r="G281">
        <v>2364.6999999999998</v>
      </c>
      <c r="H281">
        <v>133149</v>
      </c>
      <c r="I281" s="2">
        <v>8.9999999999999998E-4</v>
      </c>
      <c r="J281">
        <v>1832.9760000000001</v>
      </c>
      <c r="K281">
        <v>2.14</v>
      </c>
      <c r="L281" t="s">
        <v>12</v>
      </c>
    </row>
    <row r="282" spans="1:12" x14ac:dyDescent="0.25">
      <c r="A282" s="1">
        <v>45803</v>
      </c>
      <c r="B282" t="s">
        <v>11</v>
      </c>
      <c r="C282">
        <v>2867.75</v>
      </c>
      <c r="D282">
        <v>2884.68</v>
      </c>
      <c r="E282">
        <v>2858.69</v>
      </c>
      <c r="F282">
        <v>2872.62</v>
      </c>
      <c r="G282">
        <v>2872.38</v>
      </c>
      <c r="H282">
        <v>456826</v>
      </c>
      <c r="I282" s="2">
        <v>1.6999999999999999E-3</v>
      </c>
      <c r="J282">
        <v>1829.424</v>
      </c>
      <c r="K282">
        <v>4.87</v>
      </c>
      <c r="L282" t="s">
        <v>12</v>
      </c>
    </row>
    <row r="283" spans="1:12" x14ac:dyDescent="0.25">
      <c r="A283" s="1">
        <v>45803</v>
      </c>
      <c r="B283" t="s">
        <v>13</v>
      </c>
      <c r="C283">
        <v>1270.8699999999999</v>
      </c>
      <c r="D283">
        <v>1287.71</v>
      </c>
      <c r="E283">
        <v>1258.3900000000001</v>
      </c>
      <c r="F283">
        <v>1277.46</v>
      </c>
      <c r="G283">
        <v>1275.81</v>
      </c>
      <c r="H283">
        <v>227069</v>
      </c>
      <c r="I283" s="2">
        <v>5.1999999999999998E-3</v>
      </c>
      <c r="J283">
        <v>1832.6420000000001</v>
      </c>
      <c r="K283">
        <v>6.59</v>
      </c>
      <c r="L283" t="s">
        <v>12</v>
      </c>
    </row>
    <row r="284" spans="1:12" x14ac:dyDescent="0.25">
      <c r="A284" s="1">
        <v>45803</v>
      </c>
      <c r="B284" t="s">
        <v>15</v>
      </c>
      <c r="C284">
        <v>1967.49</v>
      </c>
      <c r="D284">
        <v>1974.09</v>
      </c>
      <c r="E284">
        <v>1961.36</v>
      </c>
      <c r="F284">
        <v>1964.21</v>
      </c>
      <c r="G284">
        <v>1965.12</v>
      </c>
      <c r="H284">
        <v>302744</v>
      </c>
      <c r="I284" s="2">
        <v>-1.6999999999999999E-3</v>
      </c>
      <c r="J284">
        <v>1834.184</v>
      </c>
      <c r="K284">
        <v>-3.28</v>
      </c>
      <c r="L284" t="s">
        <v>14</v>
      </c>
    </row>
    <row r="285" spans="1:12" x14ac:dyDescent="0.25">
      <c r="A285" s="1">
        <v>45803</v>
      </c>
      <c r="B285" t="s">
        <v>16</v>
      </c>
      <c r="C285">
        <v>679.8</v>
      </c>
      <c r="D285">
        <v>699.44</v>
      </c>
      <c r="E285">
        <v>669.75</v>
      </c>
      <c r="F285">
        <v>686.72</v>
      </c>
      <c r="G285">
        <v>685.45</v>
      </c>
      <c r="H285">
        <v>256861</v>
      </c>
      <c r="I285" s="2">
        <v>1.0200000000000001E-2</v>
      </c>
      <c r="J285">
        <v>1836.7260000000001</v>
      </c>
      <c r="K285">
        <v>6.92</v>
      </c>
      <c r="L285" t="s">
        <v>12</v>
      </c>
    </row>
    <row r="286" spans="1:12" x14ac:dyDescent="0.25">
      <c r="A286" s="1">
        <v>45803</v>
      </c>
      <c r="B286" t="s">
        <v>17</v>
      </c>
      <c r="C286">
        <v>2359.14</v>
      </c>
      <c r="D286">
        <v>2365.4499999999998</v>
      </c>
      <c r="E286">
        <v>2340.09</v>
      </c>
      <c r="F286">
        <v>2346.11</v>
      </c>
      <c r="G286">
        <v>2346.33</v>
      </c>
      <c r="H286">
        <v>202592</v>
      </c>
      <c r="I286" s="2">
        <v>-5.4999999999999997E-3</v>
      </c>
      <c r="J286">
        <v>1838.2639999999999</v>
      </c>
      <c r="K286">
        <v>-13.03</v>
      </c>
      <c r="L286" t="s">
        <v>14</v>
      </c>
    </row>
    <row r="287" spans="1:12" x14ac:dyDescent="0.25">
      <c r="A287" s="1">
        <v>45804</v>
      </c>
      <c r="B287" t="s">
        <v>11</v>
      </c>
      <c r="C287">
        <v>2880.28</v>
      </c>
      <c r="D287">
        <v>2887.88</v>
      </c>
      <c r="E287">
        <v>2872.93</v>
      </c>
      <c r="F287">
        <v>2888.71</v>
      </c>
      <c r="G287">
        <v>2887.71</v>
      </c>
      <c r="H287">
        <v>483496</v>
      </c>
      <c r="I287" s="2">
        <v>2.8999999999999998E-3</v>
      </c>
      <c r="J287">
        <v>1838.914</v>
      </c>
      <c r="K287">
        <v>8.43</v>
      </c>
      <c r="L287" t="s">
        <v>12</v>
      </c>
    </row>
    <row r="288" spans="1:12" x14ac:dyDescent="0.25">
      <c r="A288" s="1">
        <v>45804</v>
      </c>
      <c r="B288" t="s">
        <v>13</v>
      </c>
      <c r="C288">
        <v>1277.74</v>
      </c>
      <c r="D288">
        <v>1293.92</v>
      </c>
      <c r="E288">
        <v>1266.27</v>
      </c>
      <c r="F288">
        <v>1285.17</v>
      </c>
      <c r="G288">
        <v>1283.68</v>
      </c>
      <c r="H288">
        <v>462344</v>
      </c>
      <c r="I288" s="2">
        <v>5.7999999999999996E-3</v>
      </c>
      <c r="J288">
        <v>1843.2760000000001</v>
      </c>
      <c r="K288">
        <v>7.43</v>
      </c>
      <c r="L288" t="s">
        <v>12</v>
      </c>
    </row>
    <row r="289" spans="1:12" x14ac:dyDescent="0.25">
      <c r="A289" s="1">
        <v>45804</v>
      </c>
      <c r="B289" t="s">
        <v>15</v>
      </c>
      <c r="C289">
        <v>1975.75</v>
      </c>
      <c r="D289">
        <v>1987.27</v>
      </c>
      <c r="E289">
        <v>1967.05</v>
      </c>
      <c r="F289">
        <v>1976.92</v>
      </c>
      <c r="G289">
        <v>1978.2</v>
      </c>
      <c r="H289">
        <v>332705</v>
      </c>
      <c r="I289" s="2">
        <v>5.9999999999999995E-4</v>
      </c>
      <c r="J289">
        <v>1834.02</v>
      </c>
      <c r="K289">
        <v>1.17</v>
      </c>
      <c r="L289" t="s">
        <v>12</v>
      </c>
    </row>
    <row r="290" spans="1:12" x14ac:dyDescent="0.25">
      <c r="A290" s="1">
        <v>45804</v>
      </c>
      <c r="B290" t="s">
        <v>16</v>
      </c>
      <c r="C290">
        <v>689.19</v>
      </c>
      <c r="D290">
        <v>701.66</v>
      </c>
      <c r="E290">
        <v>675.86</v>
      </c>
      <c r="F290">
        <v>694.41</v>
      </c>
      <c r="G290">
        <v>695.29</v>
      </c>
      <c r="H290">
        <v>373629</v>
      </c>
      <c r="I290" s="2">
        <v>7.6E-3</v>
      </c>
      <c r="J290">
        <v>1831.596</v>
      </c>
      <c r="K290">
        <v>5.22</v>
      </c>
      <c r="L290" t="s">
        <v>12</v>
      </c>
    </row>
    <row r="291" spans="1:12" x14ac:dyDescent="0.25">
      <c r="A291" s="1">
        <v>45804</v>
      </c>
      <c r="B291" t="s">
        <v>17</v>
      </c>
      <c r="C291">
        <v>2358.52</v>
      </c>
      <c r="D291">
        <v>2370.23</v>
      </c>
      <c r="E291">
        <v>2344.5100000000002</v>
      </c>
      <c r="F291">
        <v>2349.36</v>
      </c>
      <c r="G291">
        <v>2349.42</v>
      </c>
      <c r="H291">
        <v>292274</v>
      </c>
      <c r="I291" s="2">
        <v>-3.8999999999999998E-3</v>
      </c>
      <c r="J291">
        <v>1828.79</v>
      </c>
      <c r="K291">
        <v>-9.16</v>
      </c>
      <c r="L291" t="s">
        <v>14</v>
      </c>
    </row>
    <row r="292" spans="1:12" x14ac:dyDescent="0.25">
      <c r="A292" s="1">
        <v>45805</v>
      </c>
      <c r="B292" t="s">
        <v>11</v>
      </c>
      <c r="C292">
        <v>2905.65</v>
      </c>
      <c r="D292">
        <v>2920.55</v>
      </c>
      <c r="E292">
        <v>2896.45</v>
      </c>
      <c r="F292">
        <v>2910.52</v>
      </c>
      <c r="G292">
        <v>2912.34</v>
      </c>
      <c r="H292">
        <v>301006</v>
      </c>
      <c r="I292" s="2">
        <v>1.6999999999999999E-3</v>
      </c>
      <c r="J292">
        <v>1833.356</v>
      </c>
      <c r="K292">
        <v>4.87</v>
      </c>
      <c r="L292" t="s">
        <v>12</v>
      </c>
    </row>
    <row r="293" spans="1:12" x14ac:dyDescent="0.25">
      <c r="A293" s="1">
        <v>45805</v>
      </c>
      <c r="B293" t="s">
        <v>13</v>
      </c>
      <c r="C293">
        <v>1245.24</v>
      </c>
      <c r="D293">
        <v>1259.93</v>
      </c>
      <c r="E293">
        <v>1231.68</v>
      </c>
      <c r="F293">
        <v>1238.8900000000001</v>
      </c>
      <c r="G293">
        <v>1238.31</v>
      </c>
      <c r="H293">
        <v>264438</v>
      </c>
      <c r="I293" s="2">
        <v>-5.1000000000000004E-3</v>
      </c>
      <c r="J293">
        <v>1831.546</v>
      </c>
      <c r="K293">
        <v>-6.35</v>
      </c>
      <c r="L293" t="s">
        <v>14</v>
      </c>
    </row>
    <row r="294" spans="1:12" x14ac:dyDescent="0.25">
      <c r="A294" s="1">
        <v>45805</v>
      </c>
      <c r="B294" t="s">
        <v>15</v>
      </c>
      <c r="C294">
        <v>1962.32</v>
      </c>
      <c r="D294">
        <v>1971.4</v>
      </c>
      <c r="E294">
        <v>1948.47</v>
      </c>
      <c r="F294">
        <v>1964.8</v>
      </c>
      <c r="G294">
        <v>1964.24</v>
      </c>
      <c r="H294">
        <v>379761</v>
      </c>
      <c r="I294" s="2">
        <v>1.2999999999999999E-3</v>
      </c>
      <c r="J294">
        <v>1834.954</v>
      </c>
      <c r="K294">
        <v>2.48</v>
      </c>
      <c r="L294" t="s">
        <v>12</v>
      </c>
    </row>
    <row r="295" spans="1:12" x14ac:dyDescent="0.25">
      <c r="A295" s="1">
        <v>45805</v>
      </c>
      <c r="B295" t="s">
        <v>16</v>
      </c>
      <c r="C295">
        <v>683.38</v>
      </c>
      <c r="D295">
        <v>691.37</v>
      </c>
      <c r="E295">
        <v>668.18</v>
      </c>
      <c r="F295">
        <v>680.38</v>
      </c>
      <c r="G295">
        <v>678.67</v>
      </c>
      <c r="H295">
        <v>337614</v>
      </c>
      <c r="I295" s="2">
        <v>-4.4000000000000003E-3</v>
      </c>
      <c r="J295">
        <v>1829.8340000000001</v>
      </c>
      <c r="K295">
        <v>-3</v>
      </c>
      <c r="L295" t="s">
        <v>14</v>
      </c>
    </row>
    <row r="296" spans="1:12" x14ac:dyDescent="0.25">
      <c r="A296" s="1">
        <v>45805</v>
      </c>
      <c r="B296" t="s">
        <v>17</v>
      </c>
      <c r="C296">
        <v>2366.94</v>
      </c>
      <c r="D296">
        <v>2386.8200000000002</v>
      </c>
      <c r="E296">
        <v>2349.17</v>
      </c>
      <c r="F296">
        <v>2372.19</v>
      </c>
      <c r="G296">
        <v>2371.02</v>
      </c>
      <c r="H296">
        <v>440230</v>
      </c>
      <c r="I296" s="2">
        <v>2.2000000000000001E-3</v>
      </c>
      <c r="J296">
        <v>1832.4059999999999</v>
      </c>
      <c r="K296">
        <v>5.25</v>
      </c>
      <c r="L296" t="s">
        <v>12</v>
      </c>
    </row>
    <row r="297" spans="1:12" x14ac:dyDescent="0.25">
      <c r="A297" s="1">
        <v>45806</v>
      </c>
      <c r="B297" t="s">
        <v>11</v>
      </c>
      <c r="C297">
        <v>2891.77</v>
      </c>
      <c r="D297">
        <v>2905.95</v>
      </c>
      <c r="E297">
        <v>2880.48</v>
      </c>
      <c r="F297">
        <v>2901.47</v>
      </c>
      <c r="G297">
        <v>2900.46</v>
      </c>
      <c r="H297">
        <v>140412</v>
      </c>
      <c r="I297" s="2">
        <v>3.3999999999999998E-3</v>
      </c>
      <c r="J297">
        <v>1831.672</v>
      </c>
      <c r="K297">
        <v>9.6999999999999993</v>
      </c>
      <c r="L297" t="s">
        <v>12</v>
      </c>
    </row>
    <row r="298" spans="1:12" x14ac:dyDescent="0.25">
      <c r="A298" s="1">
        <v>45806</v>
      </c>
      <c r="B298" t="s">
        <v>13</v>
      </c>
      <c r="C298">
        <v>1254.28</v>
      </c>
      <c r="D298">
        <v>1262.8399999999999</v>
      </c>
      <c r="E298">
        <v>1247.75</v>
      </c>
      <c r="F298">
        <v>1255.93</v>
      </c>
      <c r="G298">
        <v>1254.54</v>
      </c>
      <c r="H298">
        <v>496471</v>
      </c>
      <c r="I298" s="2">
        <v>1.2999999999999999E-3</v>
      </c>
      <c r="J298">
        <v>1564.2225000000001</v>
      </c>
      <c r="K298">
        <v>1.65</v>
      </c>
      <c r="L298" t="s">
        <v>12</v>
      </c>
    </row>
    <row r="299" spans="1:12" x14ac:dyDescent="0.25">
      <c r="A299" s="1">
        <v>45806</v>
      </c>
      <c r="B299" t="s">
        <v>15</v>
      </c>
      <c r="C299">
        <v>1942.81</v>
      </c>
      <c r="D299">
        <v>1955.94</v>
      </c>
      <c r="E299">
        <v>1924.72</v>
      </c>
      <c r="F299">
        <v>1939.2</v>
      </c>
      <c r="G299">
        <v>1940.13</v>
      </c>
      <c r="H299">
        <v>337155</v>
      </c>
      <c r="I299" s="2">
        <v>-1.9E-3</v>
      </c>
      <c r="J299">
        <v>1666.9866669999999</v>
      </c>
      <c r="K299">
        <v>-3.61</v>
      </c>
      <c r="L299" t="s">
        <v>14</v>
      </c>
    </row>
    <row r="300" spans="1:12" x14ac:dyDescent="0.25">
      <c r="A300" s="1">
        <v>45806</v>
      </c>
      <c r="B300" t="s">
        <v>16</v>
      </c>
      <c r="C300">
        <v>693.91</v>
      </c>
      <c r="D300">
        <v>709.82</v>
      </c>
      <c r="E300">
        <v>677.77</v>
      </c>
      <c r="F300">
        <v>693.24</v>
      </c>
      <c r="G300">
        <v>692.94</v>
      </c>
      <c r="H300">
        <v>135965</v>
      </c>
      <c r="I300" s="2">
        <v>-1E-3</v>
      </c>
      <c r="J300">
        <v>1530.88</v>
      </c>
      <c r="K300">
        <v>-0.67</v>
      </c>
      <c r="L300" t="s">
        <v>14</v>
      </c>
    </row>
    <row r="301" spans="1:12" x14ac:dyDescent="0.25">
      <c r="A301" s="1">
        <v>45806</v>
      </c>
      <c r="B301" t="s">
        <v>17</v>
      </c>
      <c r="C301">
        <v>2362.61</v>
      </c>
      <c r="D301">
        <v>2380.7800000000002</v>
      </c>
      <c r="E301">
        <v>2344.59</v>
      </c>
      <c r="F301">
        <v>2368.52</v>
      </c>
      <c r="G301">
        <v>2369.7399999999998</v>
      </c>
      <c r="H301">
        <v>211867</v>
      </c>
      <c r="I301" s="2">
        <v>2.5000000000000001E-3</v>
      </c>
      <c r="J301">
        <v>2368.52</v>
      </c>
      <c r="K301">
        <v>5.91</v>
      </c>
      <c r="L30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AEBF-3227-4F73-89BB-A8B90367E902}">
  <dimension ref="B3:C7"/>
  <sheetViews>
    <sheetView workbookViewId="0">
      <selection activeCell="C8" sqref="C8"/>
    </sheetView>
  </sheetViews>
  <sheetFormatPr defaultRowHeight="15" x14ac:dyDescent="0.25"/>
  <cols>
    <col min="2" max="2" width="26.42578125" customWidth="1"/>
    <col min="3" max="3" width="15.140625" customWidth="1"/>
  </cols>
  <sheetData>
    <row r="3" spans="2:3" x14ac:dyDescent="0.25">
      <c r="B3" s="3" t="s">
        <v>19</v>
      </c>
      <c r="C3" s="5" t="s">
        <v>20</v>
      </c>
    </row>
    <row r="4" spans="2:3" ht="15.75" customHeight="1" x14ac:dyDescent="0.25">
      <c r="B4" s="6" t="s">
        <v>21</v>
      </c>
      <c r="C4" s="4">
        <f>SUM(Stock_Market_Dataset[Volume])</f>
        <v>90727103</v>
      </c>
    </row>
    <row r="5" spans="2:3" ht="15" customHeight="1" x14ac:dyDescent="0.25">
      <c r="B5" s="6" t="s">
        <v>22</v>
      </c>
      <c r="C5" s="4">
        <f>AVERAGE(Stock_Market_Dataset[Close])</f>
        <v>1829.7369000000006</v>
      </c>
    </row>
    <row r="6" spans="2:3" ht="14.25" customHeight="1" x14ac:dyDescent="0.25">
      <c r="B6" s="6" t="s">
        <v>23</v>
      </c>
      <c r="C6" s="4">
        <f>SUM(Stock_Market_Dataset[Profit/Loss])</f>
        <v>0</v>
      </c>
    </row>
    <row r="7" spans="2:3" ht="15" customHeight="1" x14ac:dyDescent="0.25">
      <c r="B7" s="6" t="s">
        <v>24</v>
      </c>
      <c r="C7" s="4">
        <f>_xlfn.STDEV.S(Stock_Market_Dataset[Close])</f>
        <v>785.51269836906749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1DEB-ABA4-4D8A-B50C-1B068F2E4E75}">
  <dimension ref="A1:Z42"/>
  <sheetViews>
    <sheetView workbookViewId="0">
      <selection activeCell="T10" sqref="T10"/>
    </sheetView>
  </sheetViews>
  <sheetFormatPr defaultRowHeight="15" x14ac:dyDescent="0.25"/>
  <sheetData>
    <row r="1" spans="1:26" x14ac:dyDescent="0.25">
      <c r="A1" s="11" t="s">
        <v>29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</sheetData>
  <mergeCells count="1">
    <mergeCell ref="A1:N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61C8-89E1-4A32-A678-8B758BEFACD1}">
  <dimension ref="A3:B9"/>
  <sheetViews>
    <sheetView workbookViewId="0">
      <selection activeCell="O19" sqref="O19"/>
    </sheetView>
  </sheetViews>
  <sheetFormatPr defaultRowHeight="15" x14ac:dyDescent="0.25"/>
  <cols>
    <col min="1" max="1" width="13.140625" bestFit="1" customWidth="1"/>
    <col min="2" max="2" width="14.7109375" bestFit="1" customWidth="1"/>
  </cols>
  <sheetData>
    <row r="3" spans="1:2" x14ac:dyDescent="0.25">
      <c r="A3" s="7" t="s">
        <v>1</v>
      </c>
      <c r="B3" t="s">
        <v>27</v>
      </c>
    </row>
    <row r="4" spans="1:2" x14ac:dyDescent="0.25">
      <c r="A4" s="8" t="s">
        <v>16</v>
      </c>
      <c r="B4">
        <v>19271942</v>
      </c>
    </row>
    <row r="5" spans="1:2" x14ac:dyDescent="0.25">
      <c r="A5" s="8" t="s">
        <v>13</v>
      </c>
      <c r="B5">
        <v>18604961</v>
      </c>
    </row>
    <row r="6" spans="1:2" x14ac:dyDescent="0.25">
      <c r="A6" s="8" t="s">
        <v>17</v>
      </c>
      <c r="B6">
        <v>16102795</v>
      </c>
    </row>
    <row r="7" spans="1:2" x14ac:dyDescent="0.25">
      <c r="A7" s="8" t="s">
        <v>11</v>
      </c>
      <c r="B7">
        <v>18391257</v>
      </c>
    </row>
    <row r="8" spans="1:2" x14ac:dyDescent="0.25">
      <c r="A8" s="8" t="s">
        <v>15</v>
      </c>
      <c r="B8">
        <v>18356148</v>
      </c>
    </row>
    <row r="9" spans="1:2" x14ac:dyDescent="0.25">
      <c r="A9" s="8" t="s">
        <v>25</v>
      </c>
      <c r="B9">
        <v>90727103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9C03-9C9B-45B0-A7C3-87FC08AC09B6}">
  <dimension ref="A3:B9"/>
  <sheetViews>
    <sheetView workbookViewId="0">
      <selection activeCell="Q15" sqref="Q15"/>
    </sheetView>
  </sheetViews>
  <sheetFormatPr defaultRowHeight="15" x14ac:dyDescent="0.25"/>
  <cols>
    <col min="1" max="1" width="11.5703125" bestFit="1" customWidth="1"/>
    <col min="2" max="2" width="16" bestFit="1" customWidth="1"/>
  </cols>
  <sheetData>
    <row r="3" spans="1:2" x14ac:dyDescent="0.25">
      <c r="A3" s="7" t="s">
        <v>1</v>
      </c>
      <c r="B3" t="s">
        <v>26</v>
      </c>
    </row>
    <row r="4" spans="1:2" x14ac:dyDescent="0.25">
      <c r="A4" s="8" t="s">
        <v>16</v>
      </c>
      <c r="B4">
        <v>682.76150000000007</v>
      </c>
    </row>
    <row r="5" spans="1:2" x14ac:dyDescent="0.25">
      <c r="A5" s="8" t="s">
        <v>13</v>
      </c>
      <c r="B5">
        <v>1254.4409999999998</v>
      </c>
    </row>
    <row r="6" spans="1:2" x14ac:dyDescent="0.25">
      <c r="A6" s="8" t="s">
        <v>17</v>
      </c>
      <c r="B6">
        <v>2367.9281666666657</v>
      </c>
    </row>
    <row r="7" spans="1:2" x14ac:dyDescent="0.25">
      <c r="A7" s="8" t="s">
        <v>11</v>
      </c>
      <c r="B7">
        <v>2889.1989999999996</v>
      </c>
    </row>
    <row r="8" spans="1:2" x14ac:dyDescent="0.25">
      <c r="A8" s="8" t="s">
        <v>15</v>
      </c>
      <c r="B8">
        <v>1954.3548333333333</v>
      </c>
    </row>
    <row r="9" spans="1:2" x14ac:dyDescent="0.25">
      <c r="A9" s="8" t="s">
        <v>25</v>
      </c>
      <c r="B9">
        <v>1829.7369000000006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199B8-B102-420A-A07D-671E359A57F6}">
  <dimension ref="A3:B6"/>
  <sheetViews>
    <sheetView workbookViewId="0">
      <selection activeCell="N18" sqref="N18"/>
    </sheetView>
  </sheetViews>
  <sheetFormatPr defaultRowHeight="15" x14ac:dyDescent="0.25"/>
  <cols>
    <col min="1" max="1" width="13.140625" bestFit="1" customWidth="1"/>
    <col min="2" max="2" width="13.28515625" bestFit="1" customWidth="1"/>
  </cols>
  <sheetData>
    <row r="3" spans="1:2" x14ac:dyDescent="0.25">
      <c r="A3" s="7" t="s">
        <v>10</v>
      </c>
      <c r="B3" t="s">
        <v>28</v>
      </c>
    </row>
    <row r="4" spans="1:2" x14ac:dyDescent="0.25">
      <c r="A4" s="8" t="s">
        <v>14</v>
      </c>
      <c r="B4">
        <v>146</v>
      </c>
    </row>
    <row r="5" spans="1:2" x14ac:dyDescent="0.25">
      <c r="A5" s="8" t="s">
        <v>12</v>
      </c>
      <c r="B5">
        <v>154</v>
      </c>
    </row>
    <row r="6" spans="1:2" x14ac:dyDescent="0.25">
      <c r="A6" s="8" t="s">
        <v>25</v>
      </c>
      <c r="B6">
        <v>300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8FE9-5B06-4392-8656-8229C42A62B3}">
  <dimension ref="A3:D10"/>
  <sheetViews>
    <sheetView workbookViewId="0">
      <selection activeCell="N19" sqref="N19"/>
    </sheetView>
  </sheetViews>
  <sheetFormatPr defaultRowHeight="15" x14ac:dyDescent="0.25"/>
  <cols>
    <col min="1" max="1" width="13.28515625" bestFit="1" customWidth="1"/>
    <col min="2" max="2" width="16.28515625" bestFit="1" customWidth="1"/>
    <col min="3" max="3" width="6" bestFit="1" customWidth="1"/>
    <col min="4" max="4" width="11.28515625" bestFit="1" customWidth="1"/>
  </cols>
  <sheetData>
    <row r="3" spans="1:4" x14ac:dyDescent="0.25">
      <c r="A3" s="7" t="s">
        <v>28</v>
      </c>
      <c r="B3" s="7" t="s">
        <v>10</v>
      </c>
    </row>
    <row r="4" spans="1:4" x14ac:dyDescent="0.25">
      <c r="A4" s="7" t="s">
        <v>1</v>
      </c>
      <c r="B4" t="s">
        <v>14</v>
      </c>
      <c r="C4" t="s">
        <v>12</v>
      </c>
      <c r="D4" t="s">
        <v>25</v>
      </c>
    </row>
    <row r="5" spans="1:4" x14ac:dyDescent="0.25">
      <c r="A5" s="8" t="s">
        <v>16</v>
      </c>
      <c r="B5">
        <v>31</v>
      </c>
      <c r="C5">
        <v>29</v>
      </c>
      <c r="D5">
        <v>60</v>
      </c>
    </row>
    <row r="6" spans="1:4" x14ac:dyDescent="0.25">
      <c r="A6" s="8" t="s">
        <v>13</v>
      </c>
      <c r="B6">
        <v>31</v>
      </c>
      <c r="C6">
        <v>29</v>
      </c>
      <c r="D6">
        <v>60</v>
      </c>
    </row>
    <row r="7" spans="1:4" x14ac:dyDescent="0.25">
      <c r="A7" s="8" t="s">
        <v>17</v>
      </c>
      <c r="B7">
        <v>21</v>
      </c>
      <c r="C7">
        <v>39</v>
      </c>
      <c r="D7">
        <v>60</v>
      </c>
    </row>
    <row r="8" spans="1:4" x14ac:dyDescent="0.25">
      <c r="A8" s="8" t="s">
        <v>11</v>
      </c>
      <c r="B8">
        <v>28</v>
      </c>
      <c r="C8">
        <v>32</v>
      </c>
      <c r="D8">
        <v>60</v>
      </c>
    </row>
    <row r="9" spans="1:4" x14ac:dyDescent="0.25">
      <c r="A9" s="8" t="s">
        <v>15</v>
      </c>
      <c r="B9">
        <v>35</v>
      </c>
      <c r="C9">
        <v>25</v>
      </c>
      <c r="D9">
        <v>60</v>
      </c>
    </row>
    <row r="10" spans="1:4" x14ac:dyDescent="0.25">
      <c r="A10" s="8" t="s">
        <v>25</v>
      </c>
      <c r="B10">
        <v>146</v>
      </c>
      <c r="C10">
        <v>154</v>
      </c>
      <c r="D10">
        <v>300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98B9FE-1804-459B-9E8B-522D1D8042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Stock_Market_Dataset</vt:lpstr>
      <vt:lpstr>Summary</vt:lpstr>
      <vt:lpstr>Dashboard</vt:lpstr>
      <vt:lpstr>Company-wise Trading Volume</vt:lpstr>
      <vt:lpstr>Company-wise Closing Price</vt:lpstr>
      <vt:lpstr>ProfitLoss Distribution</vt:lpstr>
      <vt:lpstr>Trading Activity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Avandika A</dc:creator>
  <cp:lastModifiedBy>Avandika A</cp:lastModifiedBy>
  <dcterms:created xsi:type="dcterms:W3CDTF">2026-09-24T15:18:53Z</dcterms:created>
  <dcterms:modified xsi:type="dcterms:W3CDTF">2026-10-04T13:21:50Z</dcterms:modified>
</cp:coreProperties>
</file>